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jiabi/Desktop/Climate_Stock/Bi_Code/B_F_OFL_dist/Data_preparation/output/"/>
    </mc:Choice>
  </mc:AlternateContent>
  <xr:revisionPtr revIDLastSave="0" documentId="13_ncr:1_{00E41C4F-31E9-C34C-B02C-D43E026AFF73}" xr6:coauthVersionLast="36" xr6:coauthVersionMax="36" xr10:uidLastSave="{00000000-0000-0000-0000-000000000000}"/>
  <bookViews>
    <workbookView xWindow="180" yWindow="500" windowWidth="21460" windowHeight="16240" activeTab="1" xr2:uid="{61E4E479-A920-3345-B732-879705967CE4}"/>
  </bookViews>
  <sheets>
    <sheet name="Sheet1" sheetId="1" r:id="rId1"/>
    <sheet name="2ASSESS" sheetId="2" r:id="rId2"/>
    <sheet name="3ASSES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2" i="1" l="1"/>
  <c r="N50" i="1"/>
  <c r="N48" i="1"/>
  <c r="N45" i="1"/>
  <c r="N46" i="1"/>
  <c r="N43" i="1"/>
  <c r="N41" i="1"/>
  <c r="N40" i="1"/>
  <c r="N42" i="1"/>
  <c r="N37" i="1"/>
  <c r="N34" i="1"/>
  <c r="N35" i="1"/>
  <c r="N32" i="1"/>
  <c r="N29" i="1"/>
  <c r="N30" i="1"/>
  <c r="N26" i="1"/>
  <c r="N27" i="1"/>
  <c r="N22" i="1"/>
  <c r="N23" i="1"/>
  <c r="N24" i="1"/>
  <c r="N51" i="1" l="1"/>
  <c r="N49" i="1"/>
  <c r="N47" i="1"/>
  <c r="N44" i="1"/>
  <c r="N39" i="1"/>
  <c r="N38" i="1"/>
  <c r="N36" i="1"/>
  <c r="N33" i="1"/>
  <c r="N31" i="1"/>
  <c r="N28" i="1"/>
  <c r="N25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</calcChain>
</file>

<file path=xl/sharedStrings.xml><?xml version="1.0" encoding="utf-8"?>
<sst xmlns="http://schemas.openxmlformats.org/spreadsheetml/2006/main" count="1896" uniqueCount="369">
  <si>
    <t>Black Sea Bass</t>
  </si>
  <si>
    <t>http://sedarweb.org/sedar-56</t>
  </si>
  <si>
    <t>NMFS</t>
  </si>
  <si>
    <t>1978-2016</t>
  </si>
  <si>
    <t>South Atlantic</t>
  </si>
  <si>
    <t>Black Sea Bass South Atlantic</t>
  </si>
  <si>
    <t>SAFMC</t>
  </si>
  <si>
    <t>http://sedarweb.org/2013-update-sedar-25-south-atlantic-black-seabass</t>
  </si>
  <si>
    <t>1978-2012</t>
  </si>
  <si>
    <t>http://sedarweb.org/sedar-25-stock-assessment-report-south-atlantic-black-sea-bass</t>
  </si>
  <si>
    <t>1978-2010</t>
  </si>
  <si>
    <t>http://sedarweb.org/2005-update-sedar-02-south-atlantic-black-sea-bass</t>
  </si>
  <si>
    <t>1978-2003</t>
  </si>
  <si>
    <t>Red Snapper</t>
  </si>
  <si>
    <t>http://sedarweb.org/sedar-73-stock-assessment-report-south-atlantic-red-snapper</t>
  </si>
  <si>
    <t>1950-2019</t>
  </si>
  <si>
    <t>Red Snapper South Atlantic</t>
  </si>
  <si>
    <t>http://sedarweb.org/sedar-41-corrected-assessment-workshop-report-south-atlantic-red-snapper-april-2017</t>
  </si>
  <si>
    <t>1950-2014</t>
  </si>
  <si>
    <t>http://sedarweb.org/sedar-24-stock-assessment-report-south-atlantic-red-snapper</t>
  </si>
  <si>
    <t>1950-2009</t>
  </si>
  <si>
    <t>http://sedarweb.org/sedar-15-stock-assessment-report-south-atlantic-red-snapper</t>
  </si>
  <si>
    <t>1950-2006</t>
  </si>
  <si>
    <t>Vermilion Snapper</t>
  </si>
  <si>
    <t>http://sedarweb.org/sedar-55-stock-assessment-report-south-atlantic-vermilion-snapper</t>
  </si>
  <si>
    <t>1946-2018</t>
  </si>
  <si>
    <t>Vermilion Snapper South Atlantic</t>
  </si>
  <si>
    <t>http://sedarweb.org/docs/suar/2012_SAVSUpdate_Revised.pdf</t>
  </si>
  <si>
    <t>1946-2011</t>
  </si>
  <si>
    <t>http://sedarweb.org/sedar-17-stock-assessment-report-south-atlantic-vermilion-snapper</t>
  </si>
  <si>
    <t>1946-2007</t>
  </si>
  <si>
    <t>http://sedarweb.org/2007-update-sedar-02-south-atlantic-vermilion-snapper</t>
  </si>
  <si>
    <t>1946-2006</t>
  </si>
  <si>
    <t>King Mackerel</t>
  </si>
  <si>
    <t>King Mackerel South Atlantic</t>
  </si>
  <si>
    <t>Red Porgy</t>
  </si>
  <si>
    <t>http://sedarweb.org/sedar-60-stock-assessment-report-south-atlantic-red-porgy</t>
  </si>
  <si>
    <t>1972-2017</t>
  </si>
  <si>
    <t>Red Porgy South Atlantic</t>
  </si>
  <si>
    <t>http://sedarweb.org/2012-update-sedar-01-south-atlantic-red-porgy</t>
  </si>
  <si>
    <t>1972-2011</t>
  </si>
  <si>
    <t>http://sedarweb.org/2006-update-sedar-01-south-atlantic-red-porgy</t>
  </si>
  <si>
    <t>1972-2004</t>
  </si>
  <si>
    <t>Tilefish</t>
  </si>
  <si>
    <t>Tilefish South Atlantic</t>
  </si>
  <si>
    <t>Gag</t>
  </si>
  <si>
    <t>Gag South Atlantic</t>
  </si>
  <si>
    <t>Snowy Grouper</t>
  </si>
  <si>
    <t>Snowy Grouper South Atlantic</t>
  </si>
  <si>
    <t>Blueline Tilefish</t>
  </si>
  <si>
    <t>Blueline Tilefish South Atlantic</t>
  </si>
  <si>
    <t>Goliath Grouper</t>
  </si>
  <si>
    <t>Goliath Grouper South Atlantic</t>
  </si>
  <si>
    <t>Greater Amberjack</t>
  </si>
  <si>
    <t>Greater Amberjack South Atlantic</t>
  </si>
  <si>
    <t>Mutton Snapper</t>
  </si>
  <si>
    <t>FWC</t>
  </si>
  <si>
    <t>Mutton Snappper South Atlantic</t>
  </si>
  <si>
    <t>http://sedarweb.org/2015-update-sedar-15a-south-atlantic-and-gulf-mexico-mutton-snapper</t>
  </si>
  <si>
    <t>Red Grouper</t>
  </si>
  <si>
    <t>Red Grouper South Atlantic</t>
  </si>
  <si>
    <t>Spanish Mackerel</t>
  </si>
  <si>
    <t>Spanish Mackerel South Atlantic</t>
  </si>
  <si>
    <t>Yellowtail Snapper</t>
  </si>
  <si>
    <t>Yellowtail Snapper South Atlantic</t>
  </si>
  <si>
    <t>Gray Triggerfish</t>
  </si>
  <si>
    <t>Gray Triggerfish South Atlantic</t>
  </si>
  <si>
    <t>Hogfish</t>
  </si>
  <si>
    <t>http://sedarweb.org/sedar-37-final-stock-assessment-report-southeastern-us-hogfish</t>
  </si>
  <si>
    <t>1986-2012</t>
  </si>
  <si>
    <t>Hogfish South Atlantic</t>
  </si>
  <si>
    <t>Spiny Lobster</t>
  </si>
  <si>
    <t>Spiny Lobster South Atlantic</t>
  </si>
  <si>
    <t>Actinopterygii</t>
  </si>
  <si>
    <t>Perciformes</t>
  </si>
  <si>
    <t>Serranidae</t>
  </si>
  <si>
    <t>Centropristis</t>
  </si>
  <si>
    <t>Centropristis striata</t>
  </si>
  <si>
    <t>Lutjanidae</t>
  </si>
  <si>
    <t>Lutjanus</t>
  </si>
  <si>
    <t>campechanus</t>
  </si>
  <si>
    <t>Rhomboplites</t>
  </si>
  <si>
    <t>Rhomboplites aurorubens</t>
  </si>
  <si>
    <t>Scombriformes</t>
  </si>
  <si>
    <t>Scombridae</t>
  </si>
  <si>
    <t>Scomberomerus</t>
  </si>
  <si>
    <t>cavella</t>
  </si>
  <si>
    <t>Sparidae</t>
  </si>
  <si>
    <t>Pagrus</t>
  </si>
  <si>
    <t>pagrus</t>
  </si>
  <si>
    <t>Malacanthidae</t>
  </si>
  <si>
    <t>Lopholatilus</t>
  </si>
  <si>
    <t>chamaeleonticeps</t>
  </si>
  <si>
    <t>Mycteroperca</t>
  </si>
  <si>
    <t>microlepis</t>
  </si>
  <si>
    <t>Hyporthodus</t>
  </si>
  <si>
    <t>niveatus</t>
  </si>
  <si>
    <t>Caulotlatiuls</t>
  </si>
  <si>
    <t>microps</t>
  </si>
  <si>
    <t>Epinephelus</t>
  </si>
  <si>
    <t>itajara</t>
  </si>
  <si>
    <t>Carangidae</t>
  </si>
  <si>
    <t>Seriola</t>
  </si>
  <si>
    <t>dumerili</t>
  </si>
  <si>
    <t>analis</t>
  </si>
  <si>
    <t>morio</t>
  </si>
  <si>
    <t>maculatus</t>
  </si>
  <si>
    <t>Ocyurus</t>
  </si>
  <si>
    <t>chrysurus</t>
  </si>
  <si>
    <t>Tetraodontiformes</t>
  </si>
  <si>
    <t>Balistidae</t>
  </si>
  <si>
    <t>Balistes</t>
  </si>
  <si>
    <t>capriscus</t>
  </si>
  <si>
    <t>Labriformes</t>
  </si>
  <si>
    <t>Labridae</t>
  </si>
  <si>
    <t>Lachnolaimus</t>
  </si>
  <si>
    <t>maximus</t>
  </si>
  <si>
    <t>Malacostraca</t>
  </si>
  <si>
    <t>Decapoda</t>
  </si>
  <si>
    <t>Palinuridae</t>
  </si>
  <si>
    <t>Panulirus</t>
  </si>
  <si>
    <t>argus</t>
  </si>
  <si>
    <t>spiny lobster</t>
  </si>
  <si>
    <t>stockid</t>
  </si>
  <si>
    <t>assessid</t>
  </si>
  <si>
    <t>mgmt</t>
  </si>
  <si>
    <t>years</t>
  </si>
  <si>
    <t>area</t>
  </si>
  <si>
    <t>stocklong</t>
  </si>
  <si>
    <t>council</t>
  </si>
  <si>
    <t>class</t>
  </si>
  <si>
    <t>order</t>
  </si>
  <si>
    <t>family</t>
  </si>
  <si>
    <t>genus</t>
  </si>
  <si>
    <t>species</t>
  </si>
  <si>
    <t>species_orig</t>
  </si>
  <si>
    <t>comm_name</t>
  </si>
  <si>
    <t>http://sedarweb.org/sedar-10-stock-assessment-report-south-atlantic-gag-grouper</t>
  </si>
  <si>
    <t>http://sedarweb.org/2014-update-sedar-10-south-atlantic-gag-grouper</t>
  </si>
  <si>
    <t>http://sedarweb.org/sedar-71-stock-assessment-report-south-atlantic-gag</t>
  </si>
  <si>
    <t>http://sedarweb.org/sedar-4-south-atlantic-snowy-grouper-and-tilefish-assessment-report</t>
  </si>
  <si>
    <t>http://sedarweb.org/sedar-36-stock-assessment-report-south-atlantic-snowy-grouper</t>
  </si>
  <si>
    <t>http://sedarweb.org/2020-update-sedar-36-update-assessment-report-south-atlantic-snowy-grouper-revised-january-2021-0</t>
  </si>
  <si>
    <t>http://sedarweb.org/sedar-32-stock-assessment-report-south-atlantic-blueline-tilefish</t>
  </si>
  <si>
    <t>http://sedarweb.org/sedar-50-stock-assessment-report-atlantic-blueline-tilefish</t>
  </si>
  <si>
    <t>http://sedarweb.org/sedar-6-sar1-goliath-grouper-stock-assessment-report</t>
  </si>
  <si>
    <t>http://sedarweb.org/sedar-23-final-goliath-grouper-stock-assessment-report</t>
  </si>
  <si>
    <t>http://sedarweb.org/sedar-47-final-stock-assessment-report-southeastern-us-goliath-grouper</t>
  </si>
  <si>
    <t>http://sedarweb.org/sedar-15-stock-assessment-report-south-atlantic-greater-amberjack</t>
  </si>
  <si>
    <t>http://sedarweb.org/sedar-59-stock-assessment-report-south-atlantic-greater-amberjack</t>
  </si>
  <si>
    <t>http://sedarweb.org/sedar-15a-south-atlantic-and-gulf-mexico-mutton-snapper-final-stock-assessment-report</t>
  </si>
  <si>
    <t>http://sedarweb.org/sedar-19-final-stock-assessment-report-south-atlantic-red-grouper</t>
  </si>
  <si>
    <t>http://sedarweb.org/sedar-53-stock-assessment-report-south-atlantic-red-grouper</t>
  </si>
  <si>
    <t>http://sedarweb.org/sedar-17-stock-assessment-report-south-atlantic-spanish-mackerel</t>
  </si>
  <si>
    <t>http://sedarweb.org/sedar-28-stock-assessment-report-south-atlantic-spanish-mackerel</t>
  </si>
  <si>
    <t>http://sedarweb.org/sedar-03-stock-assessment-report-southeastern-us-yellowtail-snapper</t>
  </si>
  <si>
    <t>http://sedarweb.org/sedar-27a-stock-assessment-report-southeastern-yellowtail-snapper</t>
  </si>
  <si>
    <t>http://sedarweb.org/sedar-41-stock-assessment-report-south-atlantic-gray-triggerfish</t>
  </si>
  <si>
    <t>http://sedarweb.org/sedar-6-sar2-hogfish-stock-assessment-report</t>
  </si>
  <si>
    <t>http://sedarweb.org/sedar-08-stock-assessment-report-southeastern-us-spiny-lobster</t>
  </si>
  <si>
    <t>http://sedarweb.org/2010-update-sedar-08-southeast-us-spiny-lobster</t>
  </si>
  <si>
    <t>http://sedarweb.org/2019-update-sedar-38-update-assessment-report-south-atlantic-king-mackerel</t>
  </si>
  <si>
    <t>http://sedarweb.org/sedar-38-final-stock-assessment-report-south-atlantic-king-mackerel</t>
  </si>
  <si>
    <t>http://sedarweb.org/sedar-16-final-stock-assessment-report-gulf-mexico-and-south-atlantic-king-mackerel</t>
  </si>
  <si>
    <t>http://sedarweb.org/sedar-5-king-mackerel-stock-assessment-report</t>
  </si>
  <si>
    <t>http://sedarweb.org/sedar-66-stock-assessment-report-south-atlantic-tilefish-revised-5142021</t>
  </si>
  <si>
    <t>http://sedarweb.org/2016-update-sedar-25-south-atlantic-tilefish</t>
  </si>
  <si>
    <t>http://sedarweb.org/sedar-25-stock-assessment-report-south-atlantic-tilefish</t>
  </si>
  <si>
    <t>terminal year</t>
  </si>
  <si>
    <t>US South Atlantic</t>
  </si>
  <si>
    <t>SABluelineTilefish1</t>
  </si>
  <si>
    <t>SABluelineTilefish</t>
  </si>
  <si>
    <t>1970-2015</t>
  </si>
  <si>
    <t>Age-structured production model (ASPM)</t>
  </si>
  <si>
    <t>Unknown</t>
  </si>
  <si>
    <t>US</t>
  </si>
  <si>
    <t>Caulotlatiuls microps</t>
  </si>
  <si>
    <t>Current</t>
  </si>
  <si>
    <t>USA</t>
  </si>
  <si>
    <t>TB-MT</t>
  </si>
  <si>
    <t>F-1/yr</t>
  </si>
  <si>
    <t>SABluelineTilefish2</t>
  </si>
  <si>
    <t>1970-2011</t>
  </si>
  <si>
    <t>Beaufort assessment model (BAM)</t>
  </si>
  <si>
    <t xml:space="preserve">statistical catch-age formulation </t>
  </si>
  <si>
    <t>ADMB</t>
  </si>
  <si>
    <t>SAMuttonSnapper1</t>
  </si>
  <si>
    <t>MuttonSnapper</t>
  </si>
  <si>
    <t>1981-2013</t>
  </si>
  <si>
    <t xml:space="preserve">statistical catch-at-age model </t>
  </si>
  <si>
    <t xml:space="preserve">Age-Structured Assessment Program (ASAP, version 3.0.17) </t>
  </si>
  <si>
    <t>Lutjanus analis</t>
  </si>
  <si>
    <t>SSB-MT</t>
  </si>
  <si>
    <t>F30% as proxy</t>
  </si>
  <si>
    <t>MT</t>
  </si>
  <si>
    <t>SAMuttonSnapper2</t>
  </si>
  <si>
    <t>1981-2006</t>
  </si>
  <si>
    <t xml:space="preserve">Age-Structured Assessment Program (ASAP, version 1.4.2) </t>
  </si>
  <si>
    <t>SARedGrouper1</t>
  </si>
  <si>
    <t>RedGrouper</t>
  </si>
  <si>
    <t>1976-2015</t>
  </si>
  <si>
    <t>Beaufort Assessment Model</t>
  </si>
  <si>
    <t>Epinephelus morio</t>
  </si>
  <si>
    <t>SARedGrouper2</t>
  </si>
  <si>
    <t>1976-2008</t>
  </si>
  <si>
    <t>SASpanishMackerel1</t>
  </si>
  <si>
    <t>SpanishMackerel</t>
  </si>
  <si>
    <t>1950-2011</t>
  </si>
  <si>
    <t>Beaufort Statistical Catch-at-Age Model</t>
  </si>
  <si>
    <t>Scomberomerus maculatus</t>
  </si>
  <si>
    <t>SASpanishMackerel2</t>
  </si>
  <si>
    <t>1950-2007</t>
  </si>
  <si>
    <t>SAGreaterAmberjack1</t>
  </si>
  <si>
    <t>GreaterAmberjack</t>
  </si>
  <si>
    <t>1980-2017</t>
  </si>
  <si>
    <t>Seriola dumerili</t>
  </si>
  <si>
    <t xml:space="preserve">Changed to point estimate scalar </t>
  </si>
  <si>
    <t>SAGreaterAmberjack2</t>
  </si>
  <si>
    <t>Beaufort Statistical Catch-at-Length Model</t>
  </si>
  <si>
    <t xml:space="preserve">0.25, Lorenzen scalar </t>
  </si>
  <si>
    <t>region</t>
  </si>
  <si>
    <t>assessor</t>
  </si>
  <si>
    <t>start_year</t>
  </si>
  <si>
    <t>report_year</t>
  </si>
  <si>
    <t>assesssource</t>
  </si>
  <si>
    <t>method</t>
  </si>
  <si>
    <t>methodshort</t>
  </si>
  <si>
    <t>methodlong</t>
  </si>
  <si>
    <t>country</t>
  </si>
  <si>
    <t>areaid</t>
  </si>
  <si>
    <t>assess_if_mostrecent</t>
  </si>
  <si>
    <t>state_of_stock</t>
  </si>
  <si>
    <t>primary_country</t>
  </si>
  <si>
    <t>primary_FAOarea</t>
  </si>
  <si>
    <t>assess_notes</t>
  </si>
  <si>
    <t>M</t>
  </si>
  <si>
    <t>M_year</t>
  </si>
  <si>
    <t>M_notes</t>
  </si>
  <si>
    <t>M_source</t>
  </si>
  <si>
    <t>M_source_notes</t>
  </si>
  <si>
    <t>B_start</t>
  </si>
  <si>
    <t>B_end</t>
  </si>
  <si>
    <t>F_start</t>
  </si>
  <si>
    <t>F_end</t>
  </si>
  <si>
    <t>C_start</t>
  </si>
  <si>
    <t>C_end</t>
  </si>
  <si>
    <t>terminal_year</t>
  </si>
  <si>
    <t>assess_order</t>
  </si>
  <si>
    <t>ty</t>
  </si>
  <si>
    <t>ty_minus1</t>
  </si>
  <si>
    <t>key_ty</t>
  </si>
  <si>
    <t>key_ty_minus1</t>
  </si>
  <si>
    <t>B_ty</t>
  </si>
  <si>
    <t>B_ty_minus1</t>
  </si>
  <si>
    <t>B_type</t>
  </si>
  <si>
    <t>B_unit</t>
  </si>
  <si>
    <t>TBbest_ty</t>
  </si>
  <si>
    <t>TBbest_ty_minus1</t>
  </si>
  <si>
    <t>TB_ty</t>
  </si>
  <si>
    <t>TB_ty_minus1</t>
  </si>
  <si>
    <t>TN_ty</t>
  </si>
  <si>
    <t>TN_ty_minus1</t>
  </si>
  <si>
    <t>SSB_ty</t>
  </si>
  <si>
    <t>SSB_ty_minus1</t>
  </si>
  <si>
    <t>SSB_E00eggs_ty</t>
  </si>
  <si>
    <t>SSB_E00eggs_ty_minus1</t>
  </si>
  <si>
    <t>F_ty</t>
  </si>
  <si>
    <t>F_ty_minus1</t>
  </si>
  <si>
    <t>F_type</t>
  </si>
  <si>
    <t>F_unit</t>
  </si>
  <si>
    <t>ERbest_ty</t>
  </si>
  <si>
    <t>ERbest_ty_minus1</t>
  </si>
  <si>
    <t>ER_ty</t>
  </si>
  <si>
    <t>ER_ty_minus1</t>
  </si>
  <si>
    <t>instF_ty</t>
  </si>
  <si>
    <t>instF_ty_minus1</t>
  </si>
  <si>
    <t>ERmsybest</t>
  </si>
  <si>
    <t>ERmsybest_notes</t>
  </si>
  <si>
    <t>ERmgt</t>
  </si>
  <si>
    <t>ERmgt_notes</t>
  </si>
  <si>
    <t>Fmsy</t>
  </si>
  <si>
    <t>Fmsy_notes</t>
  </si>
  <si>
    <t>Fmgt</t>
  </si>
  <si>
    <t>Fmgt_notes</t>
  </si>
  <si>
    <t>Flim</t>
  </si>
  <si>
    <t>Flim_notes</t>
  </si>
  <si>
    <t>TBmsybest</t>
  </si>
  <si>
    <t>TBmsybest_notes</t>
  </si>
  <si>
    <t>SSBmsy</t>
  </si>
  <si>
    <t>SSBmsy_notes</t>
  </si>
  <si>
    <t>SSBmgt</t>
  </si>
  <si>
    <t>SSBmgt_notes</t>
  </si>
  <si>
    <t>OFL_pdf</t>
  </si>
  <si>
    <t>ty_order</t>
  </si>
  <si>
    <t>if_diff_5yrs</t>
  </si>
  <si>
    <t>SARedPorgy3</t>
  </si>
  <si>
    <t>RedPorgy</t>
  </si>
  <si>
    <t>Y</t>
  </si>
  <si>
    <t>SARedPorgy2</t>
  </si>
  <si>
    <t>SARedPorgy1</t>
  </si>
  <si>
    <t>BAM</t>
  </si>
  <si>
    <t>N</t>
  </si>
  <si>
    <t>SAGag3</t>
  </si>
  <si>
    <t>1962-2004</t>
  </si>
  <si>
    <t>Lorenzen function</t>
  </si>
  <si>
    <t>SAGag2</t>
  </si>
  <si>
    <t>1962-2012</t>
  </si>
  <si>
    <t>SAGag1</t>
  </si>
  <si>
    <t>1962-2019</t>
  </si>
  <si>
    <t>Lorenzen function, but  scaling the age dependent natural mortality vector only over the fully selected ages (i.e., 5+), as is common practice in recent SEDAR assessments, rather than all ages (i.e., 1+). The updated von Bertalanffy growth curve also changed the mean weight at age used to estimate M</t>
  </si>
  <si>
    <t>SASnowyGrouper1</t>
  </si>
  <si>
    <t>SnowyGrouper</t>
  </si>
  <si>
    <t>1974-2018</t>
  </si>
  <si>
    <t>SASnowyGrouper2</t>
  </si>
  <si>
    <t>1974-2012</t>
  </si>
  <si>
    <t xml:space="preserve">assumed constant over time, but decreasing with age </t>
  </si>
  <si>
    <t>SAYellowtailSnapper1</t>
  </si>
  <si>
    <t>YellowtailSnapper</t>
  </si>
  <si>
    <t>1981-2017</t>
  </si>
  <si>
    <t>SS (VERSION 3.30.14)</t>
  </si>
  <si>
    <t>Ocyurus chrysurus</t>
  </si>
  <si>
    <t xml:space="preserve">Mat-age is derived following Lorenzen (2005) using the Hoenigall taxa (1983) constant mortality-at-age as the target M scaled between vulnerable ages 3 – 28 (Mtarget = 0.160) and the von Bertalanffy growth model parameters (Linf = 425.6; k = 0.1998; t0 = -1.9297). </t>
  </si>
  <si>
    <t>SAYellowtailSnapper2</t>
  </si>
  <si>
    <t>1981-2010</t>
  </si>
  <si>
    <t>ASAP (VERSION 2)</t>
  </si>
  <si>
    <t>this assessment used a value of 0.194 for M and age-specific natural mortality rates based on length</t>
  </si>
  <si>
    <t>Hyporthodus niveatus</t>
  </si>
  <si>
    <t>Pagrus pagrus</t>
  </si>
  <si>
    <t xml:space="preserve">calculated from the Charnov et al. (2013) equation and scaled to the cumulative survival of fish ages 3+ from the recommended point estimate of M = 0.22. </t>
  </si>
  <si>
    <t>Mycteroperca microlepis</t>
  </si>
  <si>
    <t>SAKingMackerel3</t>
  </si>
  <si>
    <t>KingMackerel</t>
  </si>
  <si>
    <t>VPA</t>
  </si>
  <si>
    <t>Scomberomerus cavella</t>
  </si>
  <si>
    <t>Aage-varied</t>
  </si>
  <si>
    <t>Million Eggs</t>
  </si>
  <si>
    <t>SAKingMackerel2</t>
  </si>
  <si>
    <t>1901-2012</t>
  </si>
  <si>
    <t>SS3</t>
  </si>
  <si>
    <t>SAKingMackerel1</t>
  </si>
  <si>
    <t>1901-2017</t>
  </si>
  <si>
    <t>ERbest-ratio</t>
  </si>
  <si>
    <t>SATilefish3</t>
  </si>
  <si>
    <t>1962-2010</t>
  </si>
  <si>
    <t>Lopholatilus chamaeleonticeps</t>
  </si>
  <si>
    <t>Gonad weight (mt)</t>
  </si>
  <si>
    <t>Gonad weight - mt</t>
  </si>
  <si>
    <t>SATilefish2</t>
  </si>
  <si>
    <t>1962-2014</t>
  </si>
  <si>
    <t>SATilefish1</t>
  </si>
  <si>
    <t>1972-2018</t>
  </si>
  <si>
    <t xml:space="preserve">Constant natural mortality used for scaling age-varying natural mortality </t>
  </si>
  <si>
    <t>SARedSnapper1</t>
  </si>
  <si>
    <t>RedSnapper</t>
  </si>
  <si>
    <t>Lutjanus campechanus</t>
  </si>
  <si>
    <t>Eggs 1E8</t>
  </si>
  <si>
    <t>SARedSnapper2</t>
  </si>
  <si>
    <t>SABlackSeaBass3</t>
  </si>
  <si>
    <t>BlackSeaBass</t>
  </si>
  <si>
    <t>Assumed constant over time, but decreasing with age</t>
  </si>
  <si>
    <t>1E10 eggs</t>
  </si>
  <si>
    <t>SABlackSeaBass2</t>
  </si>
  <si>
    <t>SABlackSeaBass1</t>
  </si>
  <si>
    <t>SAVermilionsnapper3</t>
  </si>
  <si>
    <t>Vermilionsnapper</t>
  </si>
  <si>
    <t>Rhomboplites Rhomboplites aurorubens</t>
  </si>
  <si>
    <t>1E12 Eggs</t>
  </si>
  <si>
    <t>SAVermilionsnapper2</t>
  </si>
  <si>
    <t>SAVermilionsnapper1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</si>
</sst>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2"/>
      <color rgb="FF0000FF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 (Body)_x0000_"/>
    </font>
    <font>
      <sz val="12"/>
      <name val="Calibri (Body)_x0000_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Font="1" applyAlignment="1"/>
    <xf numFmtId="0" fontId="4" fillId="0" borderId="0" xfId="0" applyFont="1" applyAlignment="1">
      <alignment wrapText="1"/>
    </xf>
    <xf numFmtId="0" fontId="4" fillId="2" borderId="0" xfId="0" applyFont="1" applyFill="1" applyBorder="1" applyAlignment="1">
      <alignment wrapText="1"/>
    </xf>
    <xf numFmtId="0" fontId="4" fillId="0" borderId="0" xfId="0" applyFont="1"/>
    <xf numFmtId="0" fontId="1" fillId="3" borderId="0" xfId="0" applyFont="1" applyFill="1" applyAlignment="1"/>
    <xf numFmtId="0" fontId="2" fillId="3" borderId="0" xfId="0" applyFont="1" applyFill="1" applyAlignment="1"/>
    <xf numFmtId="0" fontId="3" fillId="3" borderId="0" xfId="0" applyFont="1" applyFill="1" applyAlignment="1">
      <alignment wrapText="1"/>
    </xf>
    <xf numFmtId="0" fontId="3" fillId="3" borderId="0" xfId="0" applyFont="1" applyFill="1" applyAlignment="1"/>
    <xf numFmtId="0" fontId="3" fillId="4" borderId="0" xfId="0" applyFont="1" applyFill="1" applyBorder="1" applyAlignment="1"/>
    <xf numFmtId="0" fontId="3" fillId="3" borderId="0" xfId="0" applyFont="1" applyFill="1"/>
    <xf numFmtId="0" fontId="0" fillId="3" borderId="0" xfId="0" applyFont="1" applyFill="1" applyAlignment="1"/>
    <xf numFmtId="0" fontId="5" fillId="0" borderId="0" xfId="0" applyFont="1" applyFill="1" applyAlignment="1"/>
    <xf numFmtId="0" fontId="6" fillId="0" borderId="0" xfId="0" applyFont="1" applyFill="1" applyAlignment="1"/>
    <xf numFmtId="0" fontId="6" fillId="0" borderId="0" xfId="0" applyFont="1" applyFill="1" applyAlignment="1">
      <alignment wrapText="1"/>
    </xf>
    <xf numFmtId="0" fontId="6" fillId="0" borderId="0" xfId="0" applyFont="1" applyFill="1"/>
    <xf numFmtId="0" fontId="6" fillId="0" borderId="0" xfId="0" applyFont="1" applyFill="1" applyBorder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>
      <alignment wrapText="1"/>
    </xf>
    <xf numFmtId="0" fontId="0" fillId="0" borderId="0" xfId="0" applyFont="1" applyFill="1" applyAlignment="1"/>
    <xf numFmtId="0" fontId="3" fillId="0" borderId="0" xfId="0" applyFont="1" applyFill="1" applyAlignment="1"/>
    <xf numFmtId="0" fontId="3" fillId="0" borderId="0" xfId="0" applyFont="1" applyFill="1" applyBorder="1" applyAlignment="1"/>
    <xf numFmtId="0" fontId="3" fillId="0" borderId="0" xfId="0" applyFont="1" applyFill="1"/>
    <xf numFmtId="0" fontId="7" fillId="0" borderId="0" xfId="0" applyFont="1" applyFill="1" applyAlignment="1"/>
    <xf numFmtId="0" fontId="0" fillId="0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sedarweb.org/sedar-15-stock-assessment-report-south-atlantic-red-snapper" TargetMode="External"/><Relationship Id="rId13" Type="http://schemas.openxmlformats.org/officeDocument/2006/relationships/hyperlink" Target="http://sedarweb.org/sedar-60-stock-assessment-report-south-atlantic-red-porgy" TargetMode="External"/><Relationship Id="rId3" Type="http://schemas.openxmlformats.org/officeDocument/2006/relationships/hyperlink" Target="http://sedarweb.org/sedar-25-stock-assessment-report-south-atlantic-black-sea-bass" TargetMode="External"/><Relationship Id="rId7" Type="http://schemas.openxmlformats.org/officeDocument/2006/relationships/hyperlink" Target="http://sedarweb.org/sedar-24-stock-assessment-report-south-atlantic-red-snapper" TargetMode="External"/><Relationship Id="rId12" Type="http://schemas.openxmlformats.org/officeDocument/2006/relationships/hyperlink" Target="http://sedarweb.org/2007-update-sedar-02-south-atlantic-vermilion-snapper" TargetMode="External"/><Relationship Id="rId2" Type="http://schemas.openxmlformats.org/officeDocument/2006/relationships/hyperlink" Target="http://sedarweb.org/2013-update-sedar-25-south-atlantic-black-seabass" TargetMode="External"/><Relationship Id="rId16" Type="http://schemas.openxmlformats.org/officeDocument/2006/relationships/hyperlink" Target="http://sedarweb.org/sedar-37-final-stock-assessment-report-southeastern-us-hogfish" TargetMode="External"/><Relationship Id="rId1" Type="http://schemas.openxmlformats.org/officeDocument/2006/relationships/hyperlink" Target="http://sedarweb.org/sedar-56" TargetMode="External"/><Relationship Id="rId6" Type="http://schemas.openxmlformats.org/officeDocument/2006/relationships/hyperlink" Target="http://sedarweb.org/sedar-41-corrected-assessment-workshop-report-south-atlantic-red-snapper-april-2017" TargetMode="External"/><Relationship Id="rId11" Type="http://schemas.openxmlformats.org/officeDocument/2006/relationships/hyperlink" Target="http://sedarweb.org/sedar-17-stock-assessment-report-south-atlantic-vermilion-snapper" TargetMode="External"/><Relationship Id="rId5" Type="http://schemas.openxmlformats.org/officeDocument/2006/relationships/hyperlink" Target="http://sedarweb.org/sedar-73-stock-assessment-report-south-atlantic-red-snapper" TargetMode="External"/><Relationship Id="rId15" Type="http://schemas.openxmlformats.org/officeDocument/2006/relationships/hyperlink" Target="http://sedarweb.org/2006-update-sedar-01-south-atlantic-red-porgy" TargetMode="External"/><Relationship Id="rId10" Type="http://schemas.openxmlformats.org/officeDocument/2006/relationships/hyperlink" Target="http://sedarweb.org/docs/suar/2012_SAVSUpdate_Revised.pdf" TargetMode="External"/><Relationship Id="rId4" Type="http://schemas.openxmlformats.org/officeDocument/2006/relationships/hyperlink" Target="http://sedarweb.org/2005-update-sedar-02-south-atlantic-black-sea-bass" TargetMode="External"/><Relationship Id="rId9" Type="http://schemas.openxmlformats.org/officeDocument/2006/relationships/hyperlink" Target="http://sedarweb.org/sedar-55-stock-assessment-report-south-atlantic-vermilion-snapper" TargetMode="External"/><Relationship Id="rId14" Type="http://schemas.openxmlformats.org/officeDocument/2006/relationships/hyperlink" Target="http://sedarweb.org/2012-update-sedar-01-south-atlantic-red-por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194F4-3B98-B045-9ECA-DFA088E527A5}">
  <dimension ref="A1:AA52"/>
  <sheetViews>
    <sheetView topLeftCell="F1" zoomScale="125" workbookViewId="0">
      <pane ySplit="1" topLeftCell="A25" activePane="bottomLeft" state="frozen"/>
      <selection pane="bottomLeft" activeCell="I10" sqref="I10:O13"/>
    </sheetView>
  </sheetViews>
  <sheetFormatPr baseColWidth="10" defaultRowHeight="16"/>
  <cols>
    <col min="1" max="1" width="18.6640625" customWidth="1"/>
    <col min="2" max="2" width="91.1640625" customWidth="1"/>
    <col min="3" max="3" width="10" customWidth="1"/>
    <col min="4" max="5" width="13.83203125" customWidth="1"/>
    <col min="6" max="6" width="19" customWidth="1"/>
    <col min="7" max="7" width="34.6640625" customWidth="1"/>
    <col min="15" max="15" width="23.6640625" customWidth="1"/>
  </cols>
  <sheetData>
    <row r="1" spans="1:27" s="1" customFormat="1" ht="15.75" customHeight="1">
      <c r="A1" s="2" t="s">
        <v>123</v>
      </c>
      <c r="B1" s="2" t="s">
        <v>124</v>
      </c>
      <c r="C1" s="2" t="s">
        <v>125</v>
      </c>
      <c r="D1" s="2" t="s">
        <v>126</v>
      </c>
      <c r="E1" s="2" t="s">
        <v>168</v>
      </c>
      <c r="F1" s="2" t="s">
        <v>127</v>
      </c>
      <c r="G1" s="2" t="s">
        <v>128</v>
      </c>
      <c r="H1" s="3" t="s">
        <v>129</v>
      </c>
      <c r="I1" s="2" t="s">
        <v>130</v>
      </c>
      <c r="J1" s="2" t="s">
        <v>131</v>
      </c>
      <c r="K1" s="2" t="s">
        <v>132</v>
      </c>
      <c r="L1" s="2" t="s">
        <v>133</v>
      </c>
      <c r="M1" s="2" t="s">
        <v>134</v>
      </c>
      <c r="N1" s="2" t="s">
        <v>135</v>
      </c>
      <c r="O1" s="2" t="s">
        <v>136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s="20" customFormat="1" ht="15.75" customHeight="1">
      <c r="A2" s="17" t="s">
        <v>0</v>
      </c>
      <c r="B2" s="18" t="s">
        <v>1</v>
      </c>
      <c r="C2" s="19" t="s">
        <v>2</v>
      </c>
      <c r="D2" s="21" t="s">
        <v>3</v>
      </c>
      <c r="E2" s="21"/>
      <c r="F2" s="17" t="s">
        <v>4</v>
      </c>
      <c r="G2" s="21" t="s">
        <v>5</v>
      </c>
      <c r="H2" s="22" t="s">
        <v>6</v>
      </c>
      <c r="I2" s="19" t="s">
        <v>73</v>
      </c>
      <c r="J2" s="19" t="s">
        <v>74</v>
      </c>
      <c r="K2" s="19" t="s">
        <v>75</v>
      </c>
      <c r="L2" s="19" t="s">
        <v>76</v>
      </c>
      <c r="M2" s="19" t="s">
        <v>77</v>
      </c>
      <c r="N2" s="19" t="s">
        <v>77</v>
      </c>
      <c r="O2" s="19" t="s">
        <v>0</v>
      </c>
    </row>
    <row r="3" spans="1:27" s="20" customFormat="1" ht="15.75" customHeight="1">
      <c r="A3" s="17" t="s">
        <v>0</v>
      </c>
      <c r="B3" s="18" t="s">
        <v>7</v>
      </c>
      <c r="C3" s="19" t="s">
        <v>2</v>
      </c>
      <c r="D3" s="21" t="s">
        <v>8</v>
      </c>
      <c r="E3" s="21"/>
      <c r="F3" s="17" t="s">
        <v>4</v>
      </c>
      <c r="G3" s="21" t="s">
        <v>5</v>
      </c>
      <c r="H3" s="22" t="s">
        <v>6</v>
      </c>
      <c r="I3" s="19" t="s">
        <v>73</v>
      </c>
      <c r="J3" s="19" t="s">
        <v>74</v>
      </c>
      <c r="K3" s="19" t="s">
        <v>75</v>
      </c>
      <c r="L3" s="19" t="s">
        <v>76</v>
      </c>
      <c r="M3" s="19" t="s">
        <v>77</v>
      </c>
      <c r="N3" s="19" t="s">
        <v>77</v>
      </c>
      <c r="O3" s="19" t="s">
        <v>0</v>
      </c>
    </row>
    <row r="4" spans="1:27" s="20" customFormat="1" ht="15.75" customHeight="1">
      <c r="A4" s="17" t="s">
        <v>0</v>
      </c>
      <c r="B4" s="18" t="s">
        <v>9</v>
      </c>
      <c r="C4" s="19" t="s">
        <v>2</v>
      </c>
      <c r="D4" s="21" t="s">
        <v>10</v>
      </c>
      <c r="E4" s="21"/>
      <c r="F4" s="17" t="s">
        <v>4</v>
      </c>
      <c r="G4" s="21" t="s">
        <v>5</v>
      </c>
      <c r="H4" s="22" t="s">
        <v>6</v>
      </c>
      <c r="I4" s="19" t="s">
        <v>73</v>
      </c>
      <c r="J4" s="19" t="s">
        <v>74</v>
      </c>
      <c r="K4" s="19" t="s">
        <v>75</v>
      </c>
      <c r="L4" s="19" t="s">
        <v>76</v>
      </c>
      <c r="M4" s="19" t="s">
        <v>77</v>
      </c>
      <c r="N4" s="19" t="s">
        <v>77</v>
      </c>
      <c r="O4" s="19" t="s">
        <v>0</v>
      </c>
    </row>
    <row r="5" spans="1:27" s="20" customFormat="1" ht="15.75" customHeight="1">
      <c r="A5" s="17" t="s">
        <v>0</v>
      </c>
      <c r="B5" s="18" t="s">
        <v>11</v>
      </c>
      <c r="C5" s="19" t="s">
        <v>2</v>
      </c>
      <c r="D5" s="21" t="s">
        <v>12</v>
      </c>
      <c r="E5" s="21"/>
      <c r="F5" s="17" t="s">
        <v>4</v>
      </c>
      <c r="G5" s="21" t="s">
        <v>5</v>
      </c>
      <c r="H5" s="22" t="s">
        <v>6</v>
      </c>
      <c r="I5" s="19" t="s">
        <v>73</v>
      </c>
      <c r="J5" s="19" t="s">
        <v>74</v>
      </c>
      <c r="K5" s="19" t="s">
        <v>75</v>
      </c>
      <c r="L5" s="19" t="s">
        <v>76</v>
      </c>
      <c r="M5" s="19" t="s">
        <v>77</v>
      </c>
      <c r="N5" s="19" t="s">
        <v>77</v>
      </c>
      <c r="O5" s="19" t="s">
        <v>0</v>
      </c>
    </row>
    <row r="6" spans="1:27" s="20" customFormat="1" ht="15.75" customHeight="1">
      <c r="A6" s="17" t="s">
        <v>13</v>
      </c>
      <c r="B6" s="18" t="s">
        <v>14</v>
      </c>
      <c r="C6" s="19" t="s">
        <v>2</v>
      </c>
      <c r="D6" s="21" t="s">
        <v>15</v>
      </c>
      <c r="E6" s="21"/>
      <c r="F6" s="17" t="s">
        <v>4</v>
      </c>
      <c r="G6" s="21" t="s">
        <v>16</v>
      </c>
      <c r="H6" s="22" t="s">
        <v>6</v>
      </c>
      <c r="I6" s="19" t="s">
        <v>73</v>
      </c>
      <c r="J6" s="19" t="s">
        <v>74</v>
      </c>
      <c r="K6" s="19" t="s">
        <v>78</v>
      </c>
      <c r="L6" s="21" t="s">
        <v>79</v>
      </c>
      <c r="M6" s="21" t="s">
        <v>80</v>
      </c>
      <c r="N6" s="23" t="str">
        <f t="shared" ref="N6:N51" si="0">CONCATENATE(L6, " ", M6)</f>
        <v>Lutjanus campechanus</v>
      </c>
      <c r="O6" s="21" t="s">
        <v>13</v>
      </c>
    </row>
    <row r="7" spans="1:27" s="20" customFormat="1" ht="15.75" customHeight="1">
      <c r="A7" s="17" t="s">
        <v>13</v>
      </c>
      <c r="B7" s="18" t="s">
        <v>17</v>
      </c>
      <c r="C7" s="19" t="s">
        <v>2</v>
      </c>
      <c r="D7" s="21" t="s">
        <v>18</v>
      </c>
      <c r="E7" s="21"/>
      <c r="F7" s="17" t="s">
        <v>4</v>
      </c>
      <c r="G7" s="21" t="s">
        <v>16</v>
      </c>
      <c r="H7" s="22" t="s">
        <v>6</v>
      </c>
      <c r="I7" s="19" t="s">
        <v>73</v>
      </c>
      <c r="J7" s="19" t="s">
        <v>74</v>
      </c>
      <c r="K7" s="19" t="s">
        <v>78</v>
      </c>
      <c r="L7" s="21" t="s">
        <v>79</v>
      </c>
      <c r="M7" s="21" t="s">
        <v>80</v>
      </c>
      <c r="N7" s="23" t="str">
        <f t="shared" si="0"/>
        <v>Lutjanus campechanus</v>
      </c>
      <c r="O7" s="21" t="s">
        <v>13</v>
      </c>
    </row>
    <row r="8" spans="1:27" s="20" customFormat="1" ht="15.75" customHeight="1">
      <c r="A8" s="17" t="s">
        <v>13</v>
      </c>
      <c r="B8" s="18" t="s">
        <v>19</v>
      </c>
      <c r="C8" s="19" t="s">
        <v>2</v>
      </c>
      <c r="D8" s="21" t="s">
        <v>20</v>
      </c>
      <c r="E8" s="21"/>
      <c r="F8" s="17" t="s">
        <v>4</v>
      </c>
      <c r="G8" s="21" t="s">
        <v>16</v>
      </c>
      <c r="H8" s="22" t="s">
        <v>6</v>
      </c>
      <c r="I8" s="19" t="s">
        <v>73</v>
      </c>
      <c r="J8" s="19" t="s">
        <v>74</v>
      </c>
      <c r="K8" s="19" t="s">
        <v>78</v>
      </c>
      <c r="L8" s="21" t="s">
        <v>79</v>
      </c>
      <c r="M8" s="21" t="s">
        <v>80</v>
      </c>
      <c r="N8" s="23" t="str">
        <f t="shared" si="0"/>
        <v>Lutjanus campechanus</v>
      </c>
      <c r="O8" s="21" t="s">
        <v>13</v>
      </c>
    </row>
    <row r="9" spans="1:27" s="20" customFormat="1" ht="15.75" customHeight="1">
      <c r="A9" s="17" t="s">
        <v>13</v>
      </c>
      <c r="B9" s="18" t="s">
        <v>21</v>
      </c>
      <c r="C9" s="19" t="s">
        <v>2</v>
      </c>
      <c r="D9" s="21" t="s">
        <v>22</v>
      </c>
      <c r="E9" s="21"/>
      <c r="F9" s="17" t="s">
        <v>4</v>
      </c>
      <c r="G9" s="21" t="s">
        <v>16</v>
      </c>
      <c r="H9" s="22" t="s">
        <v>6</v>
      </c>
      <c r="I9" s="19" t="s">
        <v>73</v>
      </c>
      <c r="J9" s="19" t="s">
        <v>74</v>
      </c>
      <c r="K9" s="19" t="s">
        <v>78</v>
      </c>
      <c r="L9" s="21" t="s">
        <v>79</v>
      </c>
      <c r="M9" s="21" t="s">
        <v>80</v>
      </c>
      <c r="N9" s="23" t="str">
        <f t="shared" si="0"/>
        <v>Lutjanus campechanus</v>
      </c>
      <c r="O9" s="21" t="s">
        <v>13</v>
      </c>
    </row>
    <row r="10" spans="1:27" s="11" customFormat="1" ht="14" customHeight="1">
      <c r="A10" s="5" t="s">
        <v>23</v>
      </c>
      <c r="B10" s="6" t="s">
        <v>24</v>
      </c>
      <c r="C10" s="7" t="s">
        <v>2</v>
      </c>
      <c r="D10" s="8" t="s">
        <v>25</v>
      </c>
      <c r="E10" s="8"/>
      <c r="F10" s="5" t="s">
        <v>4</v>
      </c>
      <c r="G10" s="8" t="s">
        <v>26</v>
      </c>
      <c r="H10" s="9" t="s">
        <v>6</v>
      </c>
      <c r="I10" s="7" t="s">
        <v>73</v>
      </c>
      <c r="J10" s="7" t="s">
        <v>74</v>
      </c>
      <c r="K10" s="7" t="s">
        <v>78</v>
      </c>
      <c r="L10" s="7" t="s">
        <v>81</v>
      </c>
      <c r="M10" s="7" t="s">
        <v>82</v>
      </c>
      <c r="N10" s="10" t="str">
        <f t="shared" si="0"/>
        <v>Rhomboplites Rhomboplites aurorubens</v>
      </c>
      <c r="O10" s="7" t="s">
        <v>23</v>
      </c>
    </row>
    <row r="11" spans="1:27" s="11" customFormat="1" ht="14" customHeight="1">
      <c r="A11" s="5" t="s">
        <v>23</v>
      </c>
      <c r="B11" s="6" t="s">
        <v>27</v>
      </c>
      <c r="C11" s="7" t="s">
        <v>2</v>
      </c>
      <c r="D11" s="8" t="s">
        <v>28</v>
      </c>
      <c r="E11" s="8"/>
      <c r="F11" s="5" t="s">
        <v>4</v>
      </c>
      <c r="G11" s="8" t="s">
        <v>26</v>
      </c>
      <c r="H11" s="9" t="s">
        <v>6</v>
      </c>
      <c r="I11" s="7" t="s">
        <v>73</v>
      </c>
      <c r="J11" s="7" t="s">
        <v>74</v>
      </c>
      <c r="K11" s="7" t="s">
        <v>78</v>
      </c>
      <c r="L11" s="7" t="s">
        <v>81</v>
      </c>
      <c r="M11" s="7" t="s">
        <v>82</v>
      </c>
      <c r="N11" s="10" t="str">
        <f t="shared" si="0"/>
        <v>Rhomboplites Rhomboplites aurorubens</v>
      </c>
      <c r="O11" s="7" t="s">
        <v>23</v>
      </c>
    </row>
    <row r="12" spans="1:27" s="11" customFormat="1" ht="14" customHeight="1">
      <c r="A12" s="5" t="s">
        <v>23</v>
      </c>
      <c r="B12" s="6" t="s">
        <v>29</v>
      </c>
      <c r="C12" s="7" t="s">
        <v>2</v>
      </c>
      <c r="D12" s="8" t="s">
        <v>30</v>
      </c>
      <c r="E12" s="8"/>
      <c r="F12" s="5" t="s">
        <v>4</v>
      </c>
      <c r="G12" s="8" t="s">
        <v>26</v>
      </c>
      <c r="H12" s="9" t="s">
        <v>6</v>
      </c>
      <c r="I12" s="7" t="s">
        <v>73</v>
      </c>
      <c r="J12" s="7" t="s">
        <v>74</v>
      </c>
      <c r="K12" s="7" t="s">
        <v>78</v>
      </c>
      <c r="L12" s="7" t="s">
        <v>81</v>
      </c>
      <c r="M12" s="7" t="s">
        <v>82</v>
      </c>
      <c r="N12" s="10" t="str">
        <f t="shared" si="0"/>
        <v>Rhomboplites Rhomboplites aurorubens</v>
      </c>
      <c r="O12" s="7" t="s">
        <v>23</v>
      </c>
    </row>
    <row r="13" spans="1:27" s="11" customFormat="1" ht="14" customHeight="1">
      <c r="A13" s="5" t="s">
        <v>23</v>
      </c>
      <c r="B13" s="6" t="s">
        <v>31</v>
      </c>
      <c r="C13" s="7" t="s">
        <v>2</v>
      </c>
      <c r="D13" s="8" t="s">
        <v>32</v>
      </c>
      <c r="E13" s="8"/>
      <c r="F13" s="5" t="s">
        <v>4</v>
      </c>
      <c r="G13" s="8" t="s">
        <v>26</v>
      </c>
      <c r="H13" s="9" t="s">
        <v>6</v>
      </c>
      <c r="I13" s="7" t="s">
        <v>73</v>
      </c>
      <c r="J13" s="7" t="s">
        <v>74</v>
      </c>
      <c r="K13" s="7" t="s">
        <v>78</v>
      </c>
      <c r="L13" s="7" t="s">
        <v>81</v>
      </c>
      <c r="M13" s="7" t="s">
        <v>82</v>
      </c>
      <c r="N13" s="10" t="str">
        <f t="shared" si="0"/>
        <v>Rhomboplites Rhomboplites aurorubens</v>
      </c>
      <c r="O13" s="7" t="s">
        <v>23</v>
      </c>
    </row>
    <row r="14" spans="1:27" s="20" customFormat="1" ht="15.75" customHeight="1">
      <c r="A14" s="17" t="s">
        <v>33</v>
      </c>
      <c r="B14" s="21" t="s">
        <v>161</v>
      </c>
      <c r="C14" s="19" t="s">
        <v>2</v>
      </c>
      <c r="F14" s="17" t="s">
        <v>4</v>
      </c>
      <c r="G14" s="23" t="s">
        <v>34</v>
      </c>
      <c r="H14" s="22" t="s">
        <v>6</v>
      </c>
      <c r="I14" s="19" t="s">
        <v>73</v>
      </c>
      <c r="J14" s="21" t="s">
        <v>83</v>
      </c>
      <c r="K14" s="21" t="s">
        <v>84</v>
      </c>
      <c r="L14" s="21" t="s">
        <v>85</v>
      </c>
      <c r="M14" s="21" t="s">
        <v>86</v>
      </c>
      <c r="N14" s="23" t="str">
        <f t="shared" si="0"/>
        <v>Scomberomerus cavella</v>
      </c>
      <c r="O14" s="21" t="s">
        <v>33</v>
      </c>
    </row>
    <row r="15" spans="1:27" s="20" customFormat="1" ht="15.75" customHeight="1">
      <c r="A15" s="17" t="s">
        <v>33</v>
      </c>
      <c r="B15" s="21" t="s">
        <v>162</v>
      </c>
      <c r="C15" s="19" t="s">
        <v>2</v>
      </c>
      <c r="F15" s="17" t="s">
        <v>4</v>
      </c>
      <c r="G15" s="23" t="s">
        <v>34</v>
      </c>
      <c r="H15" s="22" t="s">
        <v>6</v>
      </c>
      <c r="I15" s="19" t="s">
        <v>73</v>
      </c>
      <c r="J15" s="21" t="s">
        <v>83</v>
      </c>
      <c r="K15" s="21" t="s">
        <v>84</v>
      </c>
      <c r="L15" s="21" t="s">
        <v>85</v>
      </c>
      <c r="M15" s="21" t="s">
        <v>86</v>
      </c>
      <c r="N15" s="23" t="str">
        <f t="shared" si="0"/>
        <v>Scomberomerus cavella</v>
      </c>
      <c r="O15" s="21" t="s">
        <v>33</v>
      </c>
    </row>
    <row r="16" spans="1:27" s="20" customFormat="1" ht="15.75" customHeight="1">
      <c r="A16" s="17" t="s">
        <v>33</v>
      </c>
      <c r="B16" s="21" t="s">
        <v>163</v>
      </c>
      <c r="C16" s="19" t="s">
        <v>2</v>
      </c>
      <c r="F16" s="17" t="s">
        <v>4</v>
      </c>
      <c r="G16" s="23" t="s">
        <v>34</v>
      </c>
      <c r="H16" s="22" t="s">
        <v>6</v>
      </c>
      <c r="I16" s="19" t="s">
        <v>73</v>
      </c>
      <c r="J16" s="21" t="s">
        <v>83</v>
      </c>
      <c r="K16" s="21" t="s">
        <v>84</v>
      </c>
      <c r="L16" s="21" t="s">
        <v>85</v>
      </c>
      <c r="M16" s="21" t="s">
        <v>86</v>
      </c>
      <c r="N16" s="23" t="str">
        <f t="shared" si="0"/>
        <v>Scomberomerus cavella</v>
      </c>
      <c r="O16" s="21" t="s">
        <v>33</v>
      </c>
    </row>
    <row r="17" spans="1:15" s="20" customFormat="1" ht="15.75" customHeight="1">
      <c r="A17" s="17" t="s">
        <v>33</v>
      </c>
      <c r="B17" s="21" t="s">
        <v>164</v>
      </c>
      <c r="C17" s="19" t="s">
        <v>2</v>
      </c>
      <c r="F17" s="17" t="s">
        <v>4</v>
      </c>
      <c r="G17" s="23" t="s">
        <v>34</v>
      </c>
      <c r="H17" s="22" t="s">
        <v>6</v>
      </c>
      <c r="I17" s="19" t="s">
        <v>73</v>
      </c>
      <c r="J17" s="21" t="s">
        <v>83</v>
      </c>
      <c r="K17" s="21" t="s">
        <v>84</v>
      </c>
      <c r="L17" s="21" t="s">
        <v>85</v>
      </c>
      <c r="M17" s="21" t="s">
        <v>86</v>
      </c>
      <c r="N17" s="23" t="str">
        <f t="shared" si="0"/>
        <v>Scomberomerus cavella</v>
      </c>
      <c r="O17" s="21" t="s">
        <v>33</v>
      </c>
    </row>
    <row r="18" spans="1:15" s="20" customFormat="1" ht="15.75" customHeight="1">
      <c r="A18" s="17" t="s">
        <v>35</v>
      </c>
      <c r="B18" s="18" t="s">
        <v>36</v>
      </c>
      <c r="C18" s="19" t="s">
        <v>2</v>
      </c>
      <c r="D18" s="21" t="s">
        <v>37</v>
      </c>
      <c r="E18" s="21"/>
      <c r="F18" s="17" t="s">
        <v>4</v>
      </c>
      <c r="G18" s="21" t="s">
        <v>38</v>
      </c>
      <c r="H18" s="22" t="s">
        <v>6</v>
      </c>
      <c r="I18" s="19" t="s">
        <v>73</v>
      </c>
      <c r="J18" s="19" t="s">
        <v>74</v>
      </c>
      <c r="K18" s="19" t="s">
        <v>87</v>
      </c>
      <c r="L18" s="21" t="s">
        <v>88</v>
      </c>
      <c r="M18" s="21" t="s">
        <v>89</v>
      </c>
      <c r="N18" s="23" t="str">
        <f t="shared" si="0"/>
        <v>Pagrus pagrus</v>
      </c>
      <c r="O18" s="21" t="s">
        <v>35</v>
      </c>
    </row>
    <row r="19" spans="1:15" s="20" customFormat="1" ht="15.75" customHeight="1">
      <c r="A19" s="17" t="s">
        <v>35</v>
      </c>
      <c r="B19" s="18" t="s">
        <v>39</v>
      </c>
      <c r="C19" s="19" t="s">
        <v>2</v>
      </c>
      <c r="D19" s="21" t="s">
        <v>40</v>
      </c>
      <c r="E19" s="21"/>
      <c r="F19" s="17" t="s">
        <v>4</v>
      </c>
      <c r="G19" s="21" t="s">
        <v>38</v>
      </c>
      <c r="H19" s="22" t="s">
        <v>6</v>
      </c>
      <c r="I19" s="19" t="s">
        <v>73</v>
      </c>
      <c r="J19" s="19" t="s">
        <v>74</v>
      </c>
      <c r="K19" s="19" t="s">
        <v>87</v>
      </c>
      <c r="L19" s="21" t="s">
        <v>88</v>
      </c>
      <c r="M19" s="21" t="s">
        <v>89</v>
      </c>
      <c r="N19" s="23" t="str">
        <f t="shared" si="0"/>
        <v>Pagrus pagrus</v>
      </c>
      <c r="O19" s="21" t="s">
        <v>35</v>
      </c>
    </row>
    <row r="20" spans="1:15" s="20" customFormat="1" ht="15.75" customHeight="1">
      <c r="A20" s="17" t="s">
        <v>35</v>
      </c>
      <c r="B20" s="18" t="s">
        <v>41</v>
      </c>
      <c r="C20" s="19" t="s">
        <v>2</v>
      </c>
      <c r="D20" s="21" t="s">
        <v>42</v>
      </c>
      <c r="E20" s="21"/>
      <c r="F20" s="17" t="s">
        <v>4</v>
      </c>
      <c r="G20" s="21" t="s">
        <v>38</v>
      </c>
      <c r="H20" s="22" t="s">
        <v>6</v>
      </c>
      <c r="I20" s="19" t="s">
        <v>73</v>
      </c>
      <c r="J20" s="19" t="s">
        <v>74</v>
      </c>
      <c r="K20" s="19" t="s">
        <v>87</v>
      </c>
      <c r="L20" s="21" t="s">
        <v>88</v>
      </c>
      <c r="M20" s="21" t="s">
        <v>89</v>
      </c>
      <c r="N20" s="23" t="str">
        <f t="shared" si="0"/>
        <v>Pagrus pagrus</v>
      </c>
      <c r="O20" s="21" t="s">
        <v>35</v>
      </c>
    </row>
    <row r="21" spans="1:15" s="20" customFormat="1" ht="15.75" customHeight="1">
      <c r="A21" s="17" t="s">
        <v>43</v>
      </c>
      <c r="B21" s="21" t="s">
        <v>165</v>
      </c>
      <c r="C21" s="19" t="s">
        <v>2</v>
      </c>
      <c r="F21" s="17" t="s">
        <v>4</v>
      </c>
      <c r="G21" s="23" t="s">
        <v>44</v>
      </c>
      <c r="H21" s="22" t="s">
        <v>6</v>
      </c>
      <c r="I21" s="19" t="s">
        <v>73</v>
      </c>
      <c r="J21" s="19" t="s">
        <v>74</v>
      </c>
      <c r="K21" s="21" t="s">
        <v>90</v>
      </c>
      <c r="L21" s="21" t="s">
        <v>91</v>
      </c>
      <c r="M21" s="21" t="s">
        <v>92</v>
      </c>
      <c r="N21" s="23" t="str">
        <f t="shared" si="0"/>
        <v>Lopholatilus chamaeleonticeps</v>
      </c>
      <c r="O21" s="21" t="s">
        <v>43</v>
      </c>
    </row>
    <row r="22" spans="1:15" s="20" customFormat="1" ht="15.75" customHeight="1">
      <c r="A22" s="17" t="s">
        <v>43</v>
      </c>
      <c r="B22" s="21" t="s">
        <v>166</v>
      </c>
      <c r="C22" s="19" t="s">
        <v>2</v>
      </c>
      <c r="F22" s="17" t="s">
        <v>4</v>
      </c>
      <c r="G22" s="23" t="s">
        <v>44</v>
      </c>
      <c r="H22" s="22" t="s">
        <v>6</v>
      </c>
      <c r="I22" s="19" t="s">
        <v>73</v>
      </c>
      <c r="J22" s="19" t="s">
        <v>74</v>
      </c>
      <c r="K22" s="21" t="s">
        <v>90</v>
      </c>
      <c r="L22" s="21" t="s">
        <v>91</v>
      </c>
      <c r="M22" s="21" t="s">
        <v>92</v>
      </c>
      <c r="N22" s="23" t="str">
        <f t="shared" ref="N22:N24" si="1">CONCATENATE(L22, " ", M22)</f>
        <v>Lopholatilus chamaeleonticeps</v>
      </c>
      <c r="O22" s="21" t="s">
        <v>43</v>
      </c>
    </row>
    <row r="23" spans="1:15" s="20" customFormat="1" ht="15.75" customHeight="1">
      <c r="A23" s="17" t="s">
        <v>43</v>
      </c>
      <c r="B23" s="21" t="s">
        <v>167</v>
      </c>
      <c r="C23" s="19" t="s">
        <v>2</v>
      </c>
      <c r="F23" s="17" t="s">
        <v>4</v>
      </c>
      <c r="G23" s="23" t="s">
        <v>44</v>
      </c>
      <c r="H23" s="22" t="s">
        <v>6</v>
      </c>
      <c r="I23" s="19" t="s">
        <v>73</v>
      </c>
      <c r="J23" s="19" t="s">
        <v>74</v>
      </c>
      <c r="K23" s="21" t="s">
        <v>90</v>
      </c>
      <c r="L23" s="21" t="s">
        <v>91</v>
      </c>
      <c r="M23" s="21" t="s">
        <v>92</v>
      </c>
      <c r="N23" s="23" t="str">
        <f t="shared" si="1"/>
        <v>Lopholatilus chamaeleonticeps</v>
      </c>
      <c r="O23" s="21" t="s">
        <v>43</v>
      </c>
    </row>
    <row r="24" spans="1:15" s="20" customFormat="1" ht="15.75" customHeight="1">
      <c r="A24" s="17" t="s">
        <v>43</v>
      </c>
      <c r="B24" s="21" t="s">
        <v>140</v>
      </c>
      <c r="C24" s="19" t="s">
        <v>2</v>
      </c>
      <c r="F24" s="17" t="s">
        <v>4</v>
      </c>
      <c r="G24" s="23" t="s">
        <v>44</v>
      </c>
      <c r="H24" s="22" t="s">
        <v>6</v>
      </c>
      <c r="I24" s="19" t="s">
        <v>73</v>
      </c>
      <c r="J24" s="19" t="s">
        <v>74</v>
      </c>
      <c r="K24" s="21" t="s">
        <v>90</v>
      </c>
      <c r="L24" s="21" t="s">
        <v>91</v>
      </c>
      <c r="M24" s="21" t="s">
        <v>92</v>
      </c>
      <c r="N24" s="23" t="str">
        <f t="shared" si="1"/>
        <v>Lopholatilus chamaeleonticeps</v>
      </c>
      <c r="O24" s="21" t="s">
        <v>43</v>
      </c>
    </row>
    <row r="25" spans="1:15" s="20" customFormat="1" ht="15.75" customHeight="1">
      <c r="A25" s="17" t="s">
        <v>45</v>
      </c>
      <c r="B25" s="21" t="s">
        <v>139</v>
      </c>
      <c r="C25" s="19" t="s">
        <v>2</v>
      </c>
      <c r="F25" s="17" t="s">
        <v>4</v>
      </c>
      <c r="G25" s="23" t="s">
        <v>46</v>
      </c>
      <c r="H25" s="22" t="s">
        <v>6</v>
      </c>
      <c r="I25" s="19" t="s">
        <v>73</v>
      </c>
      <c r="J25" s="19" t="s">
        <v>74</v>
      </c>
      <c r="K25" s="19" t="s">
        <v>75</v>
      </c>
      <c r="L25" s="21" t="s">
        <v>93</v>
      </c>
      <c r="M25" s="21" t="s">
        <v>94</v>
      </c>
      <c r="N25" s="23" t="str">
        <f t="shared" si="0"/>
        <v>Mycteroperca microlepis</v>
      </c>
      <c r="O25" s="21" t="s">
        <v>45</v>
      </c>
    </row>
    <row r="26" spans="1:15" s="20" customFormat="1" ht="15.75" customHeight="1">
      <c r="A26" s="17" t="s">
        <v>45</v>
      </c>
      <c r="B26" s="21" t="s">
        <v>138</v>
      </c>
      <c r="C26" s="19" t="s">
        <v>2</v>
      </c>
      <c r="F26" s="17" t="s">
        <v>4</v>
      </c>
      <c r="G26" s="23" t="s">
        <v>46</v>
      </c>
      <c r="H26" s="22" t="s">
        <v>6</v>
      </c>
      <c r="I26" s="19" t="s">
        <v>73</v>
      </c>
      <c r="J26" s="19" t="s">
        <v>74</v>
      </c>
      <c r="K26" s="19" t="s">
        <v>75</v>
      </c>
      <c r="L26" s="21" t="s">
        <v>93</v>
      </c>
      <c r="M26" s="21" t="s">
        <v>94</v>
      </c>
      <c r="N26" s="23" t="str">
        <f t="shared" ref="N26:N27" si="2">CONCATENATE(L26, " ", M26)</f>
        <v>Mycteroperca microlepis</v>
      </c>
      <c r="O26" s="21" t="s">
        <v>45</v>
      </c>
    </row>
    <row r="27" spans="1:15" s="20" customFormat="1" ht="15.75" customHeight="1">
      <c r="A27" s="17" t="s">
        <v>45</v>
      </c>
      <c r="B27" s="21" t="s">
        <v>137</v>
      </c>
      <c r="C27" s="19" t="s">
        <v>2</v>
      </c>
      <c r="F27" s="17" t="s">
        <v>4</v>
      </c>
      <c r="G27" s="23" t="s">
        <v>46</v>
      </c>
      <c r="H27" s="22" t="s">
        <v>6</v>
      </c>
      <c r="I27" s="19" t="s">
        <v>73</v>
      </c>
      <c r="J27" s="19" t="s">
        <v>74</v>
      </c>
      <c r="K27" s="19" t="s">
        <v>75</v>
      </c>
      <c r="L27" s="21" t="s">
        <v>93</v>
      </c>
      <c r="M27" s="21" t="s">
        <v>94</v>
      </c>
      <c r="N27" s="23" t="str">
        <f t="shared" si="2"/>
        <v>Mycteroperca microlepis</v>
      </c>
      <c r="O27" s="21" t="s">
        <v>45</v>
      </c>
    </row>
    <row r="28" spans="1:15" s="20" customFormat="1" ht="15.75" customHeight="1">
      <c r="A28" s="17" t="s">
        <v>47</v>
      </c>
      <c r="B28" s="21" t="s">
        <v>142</v>
      </c>
      <c r="C28" s="19" t="s">
        <v>2</v>
      </c>
      <c r="F28" s="17" t="s">
        <v>4</v>
      </c>
      <c r="G28" s="23" t="s">
        <v>48</v>
      </c>
      <c r="H28" s="22" t="s">
        <v>6</v>
      </c>
      <c r="I28" s="19" t="s">
        <v>73</v>
      </c>
      <c r="J28" s="19" t="s">
        <v>74</v>
      </c>
      <c r="K28" s="19" t="s">
        <v>75</v>
      </c>
      <c r="L28" s="21" t="s">
        <v>95</v>
      </c>
      <c r="M28" s="21" t="s">
        <v>96</v>
      </c>
      <c r="N28" s="23" t="str">
        <f t="shared" si="0"/>
        <v>Hyporthodus niveatus</v>
      </c>
      <c r="O28" s="21" t="s">
        <v>47</v>
      </c>
    </row>
    <row r="29" spans="1:15" s="20" customFormat="1" ht="15.75" customHeight="1">
      <c r="A29" s="17" t="s">
        <v>47</v>
      </c>
      <c r="B29" s="21" t="s">
        <v>141</v>
      </c>
      <c r="C29" s="19" t="s">
        <v>2</v>
      </c>
      <c r="F29" s="17" t="s">
        <v>4</v>
      </c>
      <c r="G29" s="23" t="s">
        <v>48</v>
      </c>
      <c r="H29" s="22" t="s">
        <v>6</v>
      </c>
      <c r="I29" s="19" t="s">
        <v>73</v>
      </c>
      <c r="J29" s="19" t="s">
        <v>74</v>
      </c>
      <c r="K29" s="19" t="s">
        <v>75</v>
      </c>
      <c r="L29" s="21" t="s">
        <v>95</v>
      </c>
      <c r="M29" s="21" t="s">
        <v>96</v>
      </c>
      <c r="N29" s="23" t="str">
        <f t="shared" ref="N29:N30" si="3">CONCATENATE(L29, " ", M29)</f>
        <v>Hyporthodus niveatus</v>
      </c>
      <c r="O29" s="21" t="s">
        <v>47</v>
      </c>
    </row>
    <row r="30" spans="1:15" s="20" customFormat="1" ht="15.75" customHeight="1">
      <c r="A30" s="17" t="s">
        <v>47</v>
      </c>
      <c r="B30" s="21" t="s">
        <v>140</v>
      </c>
      <c r="C30" s="19" t="s">
        <v>2</v>
      </c>
      <c r="F30" s="17" t="s">
        <v>4</v>
      </c>
      <c r="G30" s="23" t="s">
        <v>48</v>
      </c>
      <c r="H30" s="22" t="s">
        <v>6</v>
      </c>
      <c r="I30" s="19" t="s">
        <v>73</v>
      </c>
      <c r="J30" s="19" t="s">
        <v>74</v>
      </c>
      <c r="K30" s="19" t="s">
        <v>75</v>
      </c>
      <c r="L30" s="21" t="s">
        <v>95</v>
      </c>
      <c r="M30" s="21" t="s">
        <v>96</v>
      </c>
      <c r="N30" s="23" t="str">
        <f t="shared" si="3"/>
        <v>Hyporthodus niveatus</v>
      </c>
      <c r="O30" s="21" t="s">
        <v>47</v>
      </c>
    </row>
    <row r="31" spans="1:15" s="13" customFormat="1" ht="15.75" customHeight="1">
      <c r="A31" s="12" t="s">
        <v>49</v>
      </c>
      <c r="B31" s="13" t="s">
        <v>144</v>
      </c>
      <c r="C31" s="14" t="s">
        <v>2</v>
      </c>
      <c r="F31" s="12" t="s">
        <v>4</v>
      </c>
      <c r="G31" s="15" t="s">
        <v>50</v>
      </c>
      <c r="H31" s="16" t="s">
        <v>6</v>
      </c>
      <c r="I31" s="14" t="s">
        <v>73</v>
      </c>
      <c r="J31" s="14" t="s">
        <v>74</v>
      </c>
      <c r="K31" s="13" t="s">
        <v>90</v>
      </c>
      <c r="L31" s="13" t="s">
        <v>97</v>
      </c>
      <c r="M31" s="13" t="s">
        <v>98</v>
      </c>
      <c r="N31" s="15" t="str">
        <f t="shared" si="0"/>
        <v>Caulotlatiuls microps</v>
      </c>
      <c r="O31" s="13" t="s">
        <v>49</v>
      </c>
    </row>
    <row r="32" spans="1:15" s="13" customFormat="1" ht="15.75" customHeight="1">
      <c r="A32" s="12" t="s">
        <v>49</v>
      </c>
      <c r="B32" s="13" t="s">
        <v>143</v>
      </c>
      <c r="C32" s="14" t="s">
        <v>2</v>
      </c>
      <c r="F32" s="12" t="s">
        <v>4</v>
      </c>
      <c r="G32" s="15" t="s">
        <v>50</v>
      </c>
      <c r="H32" s="16" t="s">
        <v>6</v>
      </c>
      <c r="I32" s="14" t="s">
        <v>73</v>
      </c>
      <c r="J32" s="14" t="s">
        <v>74</v>
      </c>
      <c r="K32" s="13" t="s">
        <v>90</v>
      </c>
      <c r="L32" s="13" t="s">
        <v>97</v>
      </c>
      <c r="M32" s="13" t="s">
        <v>98</v>
      </c>
      <c r="N32" s="15" t="str">
        <f t="shared" ref="N32" si="4">CONCATENATE(L32, " ", M32)</f>
        <v>Caulotlatiuls microps</v>
      </c>
      <c r="O32" s="13" t="s">
        <v>49</v>
      </c>
    </row>
    <row r="33" spans="1:15" s="20" customFormat="1" ht="15.75" customHeight="1">
      <c r="A33" s="17" t="s">
        <v>51</v>
      </c>
      <c r="B33" s="21" t="s">
        <v>147</v>
      </c>
      <c r="C33" s="19" t="s">
        <v>2</v>
      </c>
      <c r="F33" s="17" t="s">
        <v>4</v>
      </c>
      <c r="G33" s="23" t="s">
        <v>52</v>
      </c>
      <c r="H33" s="22" t="s">
        <v>6</v>
      </c>
      <c r="I33" s="19" t="s">
        <v>73</v>
      </c>
      <c r="J33" s="19" t="s">
        <v>74</v>
      </c>
      <c r="K33" s="19" t="s">
        <v>75</v>
      </c>
      <c r="L33" s="21" t="s">
        <v>99</v>
      </c>
      <c r="M33" s="21" t="s">
        <v>100</v>
      </c>
      <c r="N33" s="23" t="str">
        <f t="shared" si="0"/>
        <v>Epinephelus itajara</v>
      </c>
      <c r="O33" s="21" t="s">
        <v>51</v>
      </c>
    </row>
    <row r="34" spans="1:15" s="20" customFormat="1" ht="15.75" customHeight="1">
      <c r="A34" s="17" t="s">
        <v>51</v>
      </c>
      <c r="B34" s="21" t="s">
        <v>146</v>
      </c>
      <c r="C34" s="19" t="s">
        <v>2</v>
      </c>
      <c r="F34" s="17" t="s">
        <v>4</v>
      </c>
      <c r="G34" s="23" t="s">
        <v>52</v>
      </c>
      <c r="H34" s="22" t="s">
        <v>6</v>
      </c>
      <c r="I34" s="19" t="s">
        <v>73</v>
      </c>
      <c r="J34" s="19" t="s">
        <v>74</v>
      </c>
      <c r="K34" s="19" t="s">
        <v>75</v>
      </c>
      <c r="L34" s="21" t="s">
        <v>99</v>
      </c>
      <c r="M34" s="21" t="s">
        <v>100</v>
      </c>
      <c r="N34" s="23" t="str">
        <f t="shared" ref="N34:N35" si="5">CONCATENATE(L34, " ", M34)</f>
        <v>Epinephelus itajara</v>
      </c>
      <c r="O34" s="21" t="s">
        <v>51</v>
      </c>
    </row>
    <row r="35" spans="1:15" s="20" customFormat="1" ht="15.75" customHeight="1">
      <c r="A35" s="17" t="s">
        <v>51</v>
      </c>
      <c r="B35" s="21" t="s">
        <v>145</v>
      </c>
      <c r="C35" s="19" t="s">
        <v>2</v>
      </c>
      <c r="F35" s="17" t="s">
        <v>4</v>
      </c>
      <c r="G35" s="23" t="s">
        <v>52</v>
      </c>
      <c r="H35" s="22" t="s">
        <v>6</v>
      </c>
      <c r="I35" s="19" t="s">
        <v>73</v>
      </c>
      <c r="J35" s="19" t="s">
        <v>74</v>
      </c>
      <c r="K35" s="19" t="s">
        <v>75</v>
      </c>
      <c r="L35" s="21" t="s">
        <v>99</v>
      </c>
      <c r="M35" s="21" t="s">
        <v>100</v>
      </c>
      <c r="N35" s="23" t="str">
        <f t="shared" si="5"/>
        <v>Epinephelus itajara</v>
      </c>
      <c r="O35" s="21" t="s">
        <v>51</v>
      </c>
    </row>
    <row r="36" spans="1:15" s="20" customFormat="1" ht="15.75" customHeight="1">
      <c r="A36" s="17" t="s">
        <v>53</v>
      </c>
      <c r="B36" s="21" t="s">
        <v>149</v>
      </c>
      <c r="C36" s="19" t="s">
        <v>2</v>
      </c>
      <c r="F36" s="17" t="s">
        <v>4</v>
      </c>
      <c r="G36" s="23" t="s">
        <v>54</v>
      </c>
      <c r="H36" s="22" t="s">
        <v>6</v>
      </c>
      <c r="I36" s="19" t="s">
        <v>73</v>
      </c>
      <c r="J36" s="19" t="s">
        <v>74</v>
      </c>
      <c r="K36" s="19" t="s">
        <v>101</v>
      </c>
      <c r="L36" s="19" t="s">
        <v>102</v>
      </c>
      <c r="M36" s="19" t="s">
        <v>103</v>
      </c>
      <c r="N36" s="23" t="str">
        <f>CONCATENATE(L36, " ", M36)</f>
        <v>Seriola dumerili</v>
      </c>
      <c r="O36" s="19" t="s">
        <v>53</v>
      </c>
    </row>
    <row r="37" spans="1:15" s="20" customFormat="1" ht="15.75" customHeight="1">
      <c r="A37" s="17" t="s">
        <v>53</v>
      </c>
      <c r="B37" s="21" t="s">
        <v>148</v>
      </c>
      <c r="C37" s="19" t="s">
        <v>2</v>
      </c>
      <c r="F37" s="17" t="s">
        <v>4</v>
      </c>
      <c r="G37" s="23" t="s">
        <v>54</v>
      </c>
      <c r="H37" s="22" t="s">
        <v>6</v>
      </c>
      <c r="I37" s="19" t="s">
        <v>73</v>
      </c>
      <c r="J37" s="19" t="s">
        <v>74</v>
      </c>
      <c r="K37" s="19" t="s">
        <v>101</v>
      </c>
      <c r="L37" s="19" t="s">
        <v>102</v>
      </c>
      <c r="M37" s="19" t="s">
        <v>103</v>
      </c>
      <c r="N37" s="23" t="str">
        <f>CONCATENATE(L37, " ", M37)</f>
        <v>Seriola dumerili</v>
      </c>
      <c r="O37" s="19" t="s">
        <v>53</v>
      </c>
    </row>
    <row r="38" spans="1:15" s="20" customFormat="1" ht="15.75" customHeight="1">
      <c r="A38" s="17" t="s">
        <v>55</v>
      </c>
      <c r="B38" s="18" t="s">
        <v>58</v>
      </c>
      <c r="C38" s="19" t="s">
        <v>56</v>
      </c>
      <c r="F38" s="17" t="s">
        <v>4</v>
      </c>
      <c r="G38" s="21" t="s">
        <v>57</v>
      </c>
      <c r="H38" s="22" t="s">
        <v>6</v>
      </c>
      <c r="I38" s="19" t="s">
        <v>73</v>
      </c>
      <c r="J38" s="19" t="s">
        <v>74</v>
      </c>
      <c r="K38" s="21" t="s">
        <v>78</v>
      </c>
      <c r="L38" s="21" t="s">
        <v>79</v>
      </c>
      <c r="M38" s="21" t="s">
        <v>104</v>
      </c>
      <c r="N38" s="23" t="str">
        <f t="shared" si="0"/>
        <v>Lutjanus analis</v>
      </c>
      <c r="O38" s="21" t="s">
        <v>55</v>
      </c>
    </row>
    <row r="39" spans="1:15" s="20" customFormat="1" ht="15.75" customHeight="1">
      <c r="A39" s="17" t="s">
        <v>55</v>
      </c>
      <c r="B39" s="18" t="s">
        <v>150</v>
      </c>
      <c r="C39" s="19" t="s">
        <v>56</v>
      </c>
      <c r="F39" s="17" t="s">
        <v>4</v>
      </c>
      <c r="G39" s="21" t="s">
        <v>57</v>
      </c>
      <c r="H39" s="22" t="s">
        <v>6</v>
      </c>
      <c r="I39" s="19" t="s">
        <v>73</v>
      </c>
      <c r="J39" s="19" t="s">
        <v>74</v>
      </c>
      <c r="K39" s="21" t="s">
        <v>78</v>
      </c>
      <c r="L39" s="21" t="s">
        <v>79</v>
      </c>
      <c r="M39" s="21" t="s">
        <v>104</v>
      </c>
      <c r="N39" s="23" t="str">
        <f t="shared" si="0"/>
        <v>Lutjanus analis</v>
      </c>
      <c r="O39" s="21" t="s">
        <v>55</v>
      </c>
    </row>
    <row r="40" spans="1:15" s="20" customFormat="1" ht="15.75" customHeight="1">
      <c r="A40" s="17" t="s">
        <v>59</v>
      </c>
      <c r="B40" s="21" t="s">
        <v>152</v>
      </c>
      <c r="C40" s="19" t="s">
        <v>2</v>
      </c>
      <c r="F40" s="17" t="s">
        <v>4</v>
      </c>
      <c r="G40" s="23" t="s">
        <v>60</v>
      </c>
      <c r="H40" s="22" t="s">
        <v>6</v>
      </c>
      <c r="I40" s="19" t="s">
        <v>73</v>
      </c>
      <c r="J40" s="19" t="s">
        <v>74</v>
      </c>
      <c r="K40" s="19" t="s">
        <v>75</v>
      </c>
      <c r="L40" s="21" t="s">
        <v>99</v>
      </c>
      <c r="M40" s="21" t="s">
        <v>105</v>
      </c>
      <c r="N40" s="23" t="str">
        <f>CONCATENATE(L40, " ", M40)</f>
        <v>Epinephelus morio</v>
      </c>
      <c r="O40" s="21" t="s">
        <v>59</v>
      </c>
    </row>
    <row r="41" spans="1:15" s="20" customFormat="1" ht="15.75" customHeight="1">
      <c r="A41" s="17" t="s">
        <v>59</v>
      </c>
      <c r="B41" s="21" t="s">
        <v>151</v>
      </c>
      <c r="C41" s="19" t="s">
        <v>2</v>
      </c>
      <c r="F41" s="17" t="s">
        <v>4</v>
      </c>
      <c r="G41" s="23" t="s">
        <v>60</v>
      </c>
      <c r="H41" s="22" t="s">
        <v>6</v>
      </c>
      <c r="I41" s="19" t="s">
        <v>73</v>
      </c>
      <c r="J41" s="19" t="s">
        <v>74</v>
      </c>
      <c r="K41" s="19" t="s">
        <v>75</v>
      </c>
      <c r="L41" s="21" t="s">
        <v>99</v>
      </c>
      <c r="M41" s="21" t="s">
        <v>105</v>
      </c>
      <c r="N41" s="23" t="str">
        <f>CONCATENATE(L41, " ", M41)</f>
        <v>Epinephelus morio</v>
      </c>
      <c r="O41" s="21" t="s">
        <v>59</v>
      </c>
    </row>
    <row r="42" spans="1:15" s="20" customFormat="1" ht="15.75" customHeight="1">
      <c r="A42" s="17" t="s">
        <v>61</v>
      </c>
      <c r="B42" s="21" t="s">
        <v>154</v>
      </c>
      <c r="C42" s="19" t="s">
        <v>2</v>
      </c>
      <c r="F42" s="17" t="s">
        <v>4</v>
      </c>
      <c r="G42" s="23" t="s">
        <v>62</v>
      </c>
      <c r="H42" s="22" t="s">
        <v>6</v>
      </c>
      <c r="I42" s="19" t="s">
        <v>73</v>
      </c>
      <c r="J42" s="21" t="s">
        <v>83</v>
      </c>
      <c r="K42" s="21" t="s">
        <v>84</v>
      </c>
      <c r="L42" s="21" t="s">
        <v>85</v>
      </c>
      <c r="M42" s="21" t="s">
        <v>106</v>
      </c>
      <c r="N42" s="23" t="str">
        <f t="shared" si="0"/>
        <v>Scomberomerus maculatus</v>
      </c>
      <c r="O42" s="21" t="s">
        <v>61</v>
      </c>
    </row>
    <row r="43" spans="1:15" s="20" customFormat="1" ht="15.75" customHeight="1">
      <c r="A43" s="17" t="s">
        <v>61</v>
      </c>
      <c r="B43" s="21" t="s">
        <v>153</v>
      </c>
      <c r="C43" s="19" t="s">
        <v>2</v>
      </c>
      <c r="F43" s="17" t="s">
        <v>4</v>
      </c>
      <c r="G43" s="23" t="s">
        <v>62</v>
      </c>
      <c r="H43" s="22" t="s">
        <v>6</v>
      </c>
      <c r="I43" s="19" t="s">
        <v>73</v>
      </c>
      <c r="J43" s="21" t="s">
        <v>83</v>
      </c>
      <c r="K43" s="21" t="s">
        <v>84</v>
      </c>
      <c r="L43" s="21" t="s">
        <v>85</v>
      </c>
      <c r="M43" s="21" t="s">
        <v>106</v>
      </c>
      <c r="N43" s="23" t="str">
        <f t="shared" ref="N43" si="6">CONCATENATE(L43, " ", M43)</f>
        <v>Scomberomerus maculatus</v>
      </c>
      <c r="O43" s="21" t="s">
        <v>61</v>
      </c>
    </row>
    <row r="44" spans="1:15" s="20" customFormat="1" ht="15.75" customHeight="1">
      <c r="A44" s="17" t="s">
        <v>63</v>
      </c>
      <c r="B44" s="21" t="s">
        <v>156</v>
      </c>
      <c r="C44" s="19" t="s">
        <v>56</v>
      </c>
      <c r="F44" s="17" t="s">
        <v>4</v>
      </c>
      <c r="G44" s="23" t="s">
        <v>64</v>
      </c>
      <c r="H44" s="22" t="s">
        <v>6</v>
      </c>
      <c r="I44" s="19" t="s">
        <v>73</v>
      </c>
      <c r="J44" s="19" t="s">
        <v>74</v>
      </c>
      <c r="K44" s="21" t="s">
        <v>78</v>
      </c>
      <c r="L44" s="21" t="s">
        <v>107</v>
      </c>
      <c r="M44" s="21" t="s">
        <v>108</v>
      </c>
      <c r="N44" s="23" t="str">
        <f t="shared" si="0"/>
        <v>Ocyurus chrysurus</v>
      </c>
      <c r="O44" s="21" t="s">
        <v>63</v>
      </c>
    </row>
    <row r="45" spans="1:15" s="20" customFormat="1" ht="15.75" customHeight="1">
      <c r="A45" s="17" t="s">
        <v>63</v>
      </c>
      <c r="B45" s="21" t="s">
        <v>156</v>
      </c>
      <c r="C45" s="19"/>
      <c r="F45" s="17"/>
      <c r="G45" s="23" t="s">
        <v>64</v>
      </c>
      <c r="H45" s="22" t="s">
        <v>6</v>
      </c>
      <c r="I45" s="19" t="s">
        <v>73</v>
      </c>
      <c r="J45" s="19" t="s">
        <v>74</v>
      </c>
      <c r="K45" s="21" t="s">
        <v>78</v>
      </c>
      <c r="L45" s="21" t="s">
        <v>107</v>
      </c>
      <c r="M45" s="21" t="s">
        <v>108</v>
      </c>
      <c r="N45" s="23" t="str">
        <f t="shared" ref="N45:N46" si="7">CONCATENATE(L45, " ", M45)</f>
        <v>Ocyurus chrysurus</v>
      </c>
      <c r="O45" s="21" t="s">
        <v>63</v>
      </c>
    </row>
    <row r="46" spans="1:15" s="20" customFormat="1" ht="15.75" customHeight="1">
      <c r="A46" s="17" t="s">
        <v>63</v>
      </c>
      <c r="B46" s="21" t="s">
        <v>155</v>
      </c>
      <c r="C46" s="19"/>
      <c r="F46" s="17"/>
      <c r="G46" s="23" t="s">
        <v>64</v>
      </c>
      <c r="H46" s="22" t="s">
        <v>6</v>
      </c>
      <c r="I46" s="19" t="s">
        <v>73</v>
      </c>
      <c r="J46" s="19" t="s">
        <v>74</v>
      </c>
      <c r="K46" s="21" t="s">
        <v>78</v>
      </c>
      <c r="L46" s="21" t="s">
        <v>107</v>
      </c>
      <c r="M46" s="21" t="s">
        <v>108</v>
      </c>
      <c r="N46" s="23" t="str">
        <f t="shared" si="7"/>
        <v>Ocyurus chrysurus</v>
      </c>
      <c r="O46" s="21" t="s">
        <v>63</v>
      </c>
    </row>
    <row r="47" spans="1:15" s="20" customFormat="1" ht="15.75" customHeight="1">
      <c r="A47" s="24" t="s">
        <v>65</v>
      </c>
      <c r="B47" s="21" t="s">
        <v>157</v>
      </c>
      <c r="C47" s="19" t="s">
        <v>2</v>
      </c>
      <c r="F47" s="17" t="s">
        <v>4</v>
      </c>
      <c r="G47" s="23" t="s">
        <v>66</v>
      </c>
      <c r="H47" s="22" t="s">
        <v>6</v>
      </c>
      <c r="I47" s="19" t="s">
        <v>73</v>
      </c>
      <c r="J47" s="19" t="s">
        <v>109</v>
      </c>
      <c r="K47" s="19" t="s">
        <v>110</v>
      </c>
      <c r="L47" s="19" t="s">
        <v>111</v>
      </c>
      <c r="M47" s="19" t="s">
        <v>112</v>
      </c>
      <c r="N47" s="23" t="str">
        <f t="shared" si="0"/>
        <v>Balistes capriscus</v>
      </c>
      <c r="O47" s="19" t="s">
        <v>65</v>
      </c>
    </row>
    <row r="48" spans="1:15" s="20" customFormat="1" ht="14" customHeight="1">
      <c r="A48" s="17" t="s">
        <v>65</v>
      </c>
      <c r="B48" s="21" t="s">
        <v>143</v>
      </c>
      <c r="C48" s="19"/>
      <c r="F48" s="17"/>
      <c r="G48" s="23" t="s">
        <v>66</v>
      </c>
      <c r="H48" s="22" t="s">
        <v>6</v>
      </c>
      <c r="I48" s="19" t="s">
        <v>73</v>
      </c>
      <c r="J48" s="19" t="s">
        <v>109</v>
      </c>
      <c r="K48" s="19" t="s">
        <v>110</v>
      </c>
      <c r="L48" s="19" t="s">
        <v>111</v>
      </c>
      <c r="M48" s="19" t="s">
        <v>112</v>
      </c>
      <c r="N48" s="23" t="str">
        <f t="shared" ref="N48" si="8">CONCATENATE(L48, " ", M48)</f>
        <v>Balistes capriscus</v>
      </c>
      <c r="O48" s="19" t="s">
        <v>65</v>
      </c>
    </row>
    <row r="49" spans="1:15" s="20" customFormat="1" ht="15.75" customHeight="1">
      <c r="A49" s="17" t="s">
        <v>67</v>
      </c>
      <c r="B49" s="18" t="s">
        <v>68</v>
      </c>
      <c r="C49" s="19" t="s">
        <v>56</v>
      </c>
      <c r="D49" s="21" t="s">
        <v>69</v>
      </c>
      <c r="E49" s="21"/>
      <c r="F49" s="17" t="s">
        <v>4</v>
      </c>
      <c r="G49" s="21" t="s">
        <v>70</v>
      </c>
      <c r="H49" s="22" t="s">
        <v>6</v>
      </c>
      <c r="I49" s="19" t="s">
        <v>73</v>
      </c>
      <c r="J49" s="19" t="s">
        <v>113</v>
      </c>
      <c r="K49" s="21" t="s">
        <v>114</v>
      </c>
      <c r="L49" s="21" t="s">
        <v>115</v>
      </c>
      <c r="M49" s="21" t="s">
        <v>116</v>
      </c>
      <c r="N49" s="23" t="str">
        <f t="shared" si="0"/>
        <v>Lachnolaimus maximus</v>
      </c>
      <c r="O49" s="21" t="s">
        <v>67</v>
      </c>
    </row>
    <row r="50" spans="1:15" s="20" customFormat="1" ht="15.75" customHeight="1">
      <c r="A50" s="17" t="s">
        <v>67</v>
      </c>
      <c r="B50" s="18" t="s">
        <v>158</v>
      </c>
      <c r="C50" s="19"/>
      <c r="D50" s="21"/>
      <c r="E50" s="21"/>
      <c r="F50" s="17"/>
      <c r="G50" s="21" t="s">
        <v>70</v>
      </c>
      <c r="H50" s="22" t="s">
        <v>6</v>
      </c>
      <c r="I50" s="19" t="s">
        <v>73</v>
      </c>
      <c r="J50" s="19" t="s">
        <v>113</v>
      </c>
      <c r="K50" s="21" t="s">
        <v>114</v>
      </c>
      <c r="L50" s="21" t="s">
        <v>115</v>
      </c>
      <c r="M50" s="21" t="s">
        <v>116</v>
      </c>
      <c r="N50" s="23" t="str">
        <f t="shared" ref="N50" si="9">CONCATENATE(L50, " ", M50)</f>
        <v>Lachnolaimus maximus</v>
      </c>
      <c r="O50" s="21" t="s">
        <v>67</v>
      </c>
    </row>
    <row r="51" spans="1:15" s="20" customFormat="1" ht="15.75" customHeight="1">
      <c r="A51" s="17" t="s">
        <v>71</v>
      </c>
      <c r="B51" s="21" t="s">
        <v>160</v>
      </c>
      <c r="C51" s="19" t="s">
        <v>56</v>
      </c>
      <c r="F51" s="17" t="s">
        <v>4</v>
      </c>
      <c r="G51" s="23" t="s">
        <v>72</v>
      </c>
      <c r="H51" s="22" t="s">
        <v>6</v>
      </c>
      <c r="I51" s="21" t="s">
        <v>117</v>
      </c>
      <c r="J51" s="21" t="s">
        <v>118</v>
      </c>
      <c r="K51" s="21" t="s">
        <v>119</v>
      </c>
      <c r="L51" s="21" t="s">
        <v>120</v>
      </c>
      <c r="M51" s="21" t="s">
        <v>121</v>
      </c>
      <c r="N51" s="23" t="str">
        <f t="shared" si="0"/>
        <v>Panulirus argus</v>
      </c>
      <c r="O51" s="21" t="s">
        <v>122</v>
      </c>
    </row>
    <row r="52" spans="1:15" s="25" customFormat="1">
      <c r="A52" s="17" t="s">
        <v>71</v>
      </c>
      <c r="B52" s="21" t="s">
        <v>159</v>
      </c>
      <c r="C52" s="19"/>
      <c r="D52" s="20"/>
      <c r="E52" s="20"/>
      <c r="F52" s="17"/>
      <c r="G52" s="23" t="s">
        <v>72</v>
      </c>
      <c r="H52" s="22" t="s">
        <v>6</v>
      </c>
      <c r="I52" s="21" t="s">
        <v>117</v>
      </c>
      <c r="J52" s="21" t="s">
        <v>118</v>
      </c>
      <c r="K52" s="21" t="s">
        <v>119</v>
      </c>
      <c r="L52" s="21" t="s">
        <v>120</v>
      </c>
      <c r="M52" s="21" t="s">
        <v>121</v>
      </c>
      <c r="N52" s="23" t="str">
        <f t="shared" ref="N52" si="10">CONCATENATE(L52, " ", M52)</f>
        <v>Panulirus argus</v>
      </c>
      <c r="O52" s="21" t="s">
        <v>122</v>
      </c>
    </row>
  </sheetData>
  <hyperlinks>
    <hyperlink ref="B2" r:id="rId1" xr:uid="{9F0837E1-4105-7240-A440-CF37F6430D14}"/>
    <hyperlink ref="B3" r:id="rId2" xr:uid="{DBEA8B6C-879E-4140-B9FB-73FB7D6E1E3F}"/>
    <hyperlink ref="B4" r:id="rId3" xr:uid="{6B4AFDAD-573F-D040-A9D3-F83208986128}"/>
    <hyperlink ref="B5" r:id="rId4" xr:uid="{24731CF9-1E66-8C47-AD5D-BA72CE07BD27}"/>
    <hyperlink ref="B6" r:id="rId5" xr:uid="{AD70F414-3764-204D-AA5C-3A6A7180B8AB}"/>
    <hyperlink ref="B7" r:id="rId6" xr:uid="{6BE9DB8B-BC20-DC45-9559-BDD5424FC64C}"/>
    <hyperlink ref="B8" r:id="rId7" xr:uid="{B79F6516-FB86-7C4B-966C-AF1A6FA695FF}"/>
    <hyperlink ref="B9" r:id="rId8" xr:uid="{672074AE-B2E8-874D-B4D8-A7F4678344F9}"/>
    <hyperlink ref="B10" r:id="rId9" xr:uid="{B2BDA592-1BA2-3A40-9CC0-835FE2A2E75C}"/>
    <hyperlink ref="B11" r:id="rId10" xr:uid="{8CB61272-AE47-6F49-ADED-BA77D7420CA7}"/>
    <hyperlink ref="B12" r:id="rId11" xr:uid="{96BF17D2-1E68-3E4E-A9AE-346BAC69E12A}"/>
    <hyperlink ref="B13" r:id="rId12" xr:uid="{81E2925B-574F-5C4A-9403-9766E37C2557}"/>
    <hyperlink ref="B18" r:id="rId13" xr:uid="{24F190B1-1DF6-CF4D-B3A6-B59A664B37C2}"/>
    <hyperlink ref="B19" r:id="rId14" xr:uid="{AD2D42FC-CD26-3C4E-B09F-FEDDC929B635}"/>
    <hyperlink ref="B20" r:id="rId15" xr:uid="{B8CD1983-A3DC-4E48-B4DE-BE54B9B9A45B}"/>
    <hyperlink ref="B49" r:id="rId16" xr:uid="{BAA10FE3-C738-6940-80B8-1C6BE31FF14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8B056-46A6-4045-AD27-5A78121E8F90}">
  <dimension ref="A1:CJ17"/>
  <sheetViews>
    <sheetView tabSelected="1" topLeftCell="AN1" workbookViewId="0">
      <selection activeCell="AT2" sqref="AT2"/>
    </sheetView>
  </sheetViews>
  <sheetFormatPr baseColWidth="10" defaultRowHeight="16"/>
  <sheetData>
    <row r="1" spans="1:88" ht="15" customHeight="1">
      <c r="A1" t="s">
        <v>220</v>
      </c>
      <c r="B1" t="s">
        <v>124</v>
      </c>
      <c r="C1" t="s">
        <v>123</v>
      </c>
      <c r="D1" t="s">
        <v>125</v>
      </c>
      <c r="E1" t="s">
        <v>221</v>
      </c>
      <c r="F1" t="s">
        <v>126</v>
      </c>
      <c r="G1" t="s">
        <v>222</v>
      </c>
      <c r="H1" t="s">
        <v>223</v>
      </c>
      <c r="I1" t="s">
        <v>224</v>
      </c>
      <c r="J1" t="s">
        <v>225</v>
      </c>
      <c r="K1" t="s">
        <v>226</v>
      </c>
      <c r="L1" t="s">
        <v>227</v>
      </c>
      <c r="M1" t="s">
        <v>228</v>
      </c>
      <c r="N1" t="s">
        <v>127</v>
      </c>
      <c r="O1" t="s">
        <v>229</v>
      </c>
      <c r="P1" t="s">
        <v>128</v>
      </c>
      <c r="Q1" t="s">
        <v>130</v>
      </c>
      <c r="R1" t="s">
        <v>131</v>
      </c>
      <c r="S1" t="s">
        <v>132</v>
      </c>
      <c r="T1" t="s">
        <v>133</v>
      </c>
      <c r="U1" t="s">
        <v>134</v>
      </c>
      <c r="V1" t="s">
        <v>135</v>
      </c>
      <c r="W1" t="s">
        <v>136</v>
      </c>
      <c r="X1" t="s">
        <v>230</v>
      </c>
      <c r="Y1" t="s">
        <v>231</v>
      </c>
      <c r="Z1" t="s">
        <v>232</v>
      </c>
      <c r="AA1" t="s">
        <v>233</v>
      </c>
      <c r="AB1" t="s">
        <v>234</v>
      </c>
      <c r="AC1" t="s">
        <v>235</v>
      </c>
      <c r="AD1" t="s">
        <v>236</v>
      </c>
      <c r="AE1" t="s">
        <v>237</v>
      </c>
      <c r="AF1" t="s">
        <v>238</v>
      </c>
      <c r="AG1" t="s">
        <v>239</v>
      </c>
      <c r="AH1" t="s">
        <v>240</v>
      </c>
      <c r="AI1" t="s">
        <v>241</v>
      </c>
      <c r="AJ1" t="s">
        <v>242</v>
      </c>
      <c r="AK1" t="s">
        <v>243</v>
      </c>
      <c r="AL1" t="s">
        <v>244</v>
      </c>
      <c r="AM1" t="s">
        <v>245</v>
      </c>
      <c r="AN1" t="s">
        <v>246</v>
      </c>
      <c r="AO1" t="s">
        <v>247</v>
      </c>
      <c r="AP1" t="s">
        <v>248</v>
      </c>
      <c r="AQ1" t="s">
        <v>249</v>
      </c>
      <c r="AR1" t="s">
        <v>250</v>
      </c>
      <c r="AS1" t="s">
        <v>251</v>
      </c>
      <c r="AT1" t="s">
        <v>252</v>
      </c>
      <c r="AU1" t="s">
        <v>253</v>
      </c>
      <c r="AV1" t="s">
        <v>254</v>
      </c>
      <c r="AW1" t="s">
        <v>255</v>
      </c>
      <c r="AX1" t="s">
        <v>256</v>
      </c>
      <c r="AY1" t="s">
        <v>257</v>
      </c>
      <c r="AZ1" t="s">
        <v>258</v>
      </c>
      <c r="BA1" t="s">
        <v>259</v>
      </c>
      <c r="BB1" t="s">
        <v>260</v>
      </c>
      <c r="BC1" t="s">
        <v>261</v>
      </c>
      <c r="BD1" t="s">
        <v>262</v>
      </c>
      <c r="BE1" t="s">
        <v>263</v>
      </c>
      <c r="BF1" t="s">
        <v>264</v>
      </c>
      <c r="BG1" t="s">
        <v>265</v>
      </c>
      <c r="BH1" t="s">
        <v>266</v>
      </c>
      <c r="BI1" t="s">
        <v>267</v>
      </c>
      <c r="BJ1" t="s">
        <v>268</v>
      </c>
      <c r="BK1" t="s">
        <v>269</v>
      </c>
      <c r="BL1" t="s">
        <v>270</v>
      </c>
      <c r="BM1" t="s">
        <v>271</v>
      </c>
      <c r="BN1" t="s">
        <v>272</v>
      </c>
      <c r="BO1" t="s">
        <v>273</v>
      </c>
      <c r="BP1" t="s">
        <v>274</v>
      </c>
      <c r="BQ1" t="s">
        <v>275</v>
      </c>
      <c r="BR1" t="s">
        <v>276</v>
      </c>
      <c r="BS1" t="s">
        <v>277</v>
      </c>
      <c r="BT1" t="s">
        <v>278</v>
      </c>
      <c r="BU1" t="s">
        <v>279</v>
      </c>
      <c r="BV1" t="s">
        <v>280</v>
      </c>
      <c r="BW1" t="s">
        <v>281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288</v>
      </c>
      <c r="CE1" t="s">
        <v>289</v>
      </c>
      <c r="CF1" t="s">
        <v>290</v>
      </c>
      <c r="CG1" t="s">
        <v>291</v>
      </c>
      <c r="CH1" t="s">
        <v>292</v>
      </c>
      <c r="CI1" t="s">
        <v>293</v>
      </c>
      <c r="CJ1" t="s">
        <v>294</v>
      </c>
    </row>
    <row r="2" spans="1:88" s="26" customFormat="1">
      <c r="A2" s="26" t="s">
        <v>169</v>
      </c>
      <c r="B2" s="26" t="s">
        <v>170</v>
      </c>
      <c r="C2" s="26" t="s">
        <v>171</v>
      </c>
      <c r="D2" s="26" t="s">
        <v>2</v>
      </c>
      <c r="E2" s="26" t="s">
        <v>2</v>
      </c>
      <c r="F2" s="26" t="s">
        <v>172</v>
      </c>
      <c r="G2" s="26">
        <v>1970</v>
      </c>
      <c r="H2" s="26">
        <v>2015</v>
      </c>
      <c r="I2" s="26" t="s">
        <v>144</v>
      </c>
      <c r="J2" s="26" t="s">
        <v>173</v>
      </c>
      <c r="L2" s="26" t="s">
        <v>174</v>
      </c>
      <c r="M2" s="26" t="s">
        <v>175</v>
      </c>
      <c r="N2" s="26" t="s">
        <v>4</v>
      </c>
      <c r="O2" s="26" t="s">
        <v>4</v>
      </c>
      <c r="Q2" s="26" t="s">
        <v>73</v>
      </c>
      <c r="R2" s="26" t="s">
        <v>74</v>
      </c>
      <c r="S2" s="26" t="s">
        <v>90</v>
      </c>
      <c r="T2" s="26" t="s">
        <v>97</v>
      </c>
      <c r="U2" s="26" t="s">
        <v>98</v>
      </c>
      <c r="V2" s="26" t="s">
        <v>176</v>
      </c>
      <c r="W2" s="26" t="s">
        <v>49</v>
      </c>
      <c r="X2" s="26">
        <v>999</v>
      </c>
      <c r="Y2" s="26" t="s">
        <v>177</v>
      </c>
      <c r="Z2" s="26" t="s">
        <v>178</v>
      </c>
      <c r="AC2" s="26">
        <v>0.1</v>
      </c>
      <c r="AO2" s="26">
        <v>1</v>
      </c>
      <c r="AP2" s="26">
        <v>2011</v>
      </c>
      <c r="AQ2" s="26">
        <v>2010</v>
      </c>
      <c r="AT2" s="26">
        <v>617</v>
      </c>
      <c r="AV2" s="26" t="s">
        <v>179</v>
      </c>
      <c r="AZ2" s="26">
        <v>617</v>
      </c>
      <c r="BH2" s="26">
        <v>1.7999999999999999E-2</v>
      </c>
      <c r="BJ2" s="26" t="s">
        <v>180</v>
      </c>
      <c r="BP2" s="26">
        <v>1.7999999999999999E-2</v>
      </c>
      <c r="BV2" s="26">
        <v>0.14599999999999999</v>
      </c>
      <c r="CB2" s="26">
        <v>664</v>
      </c>
      <c r="CI2" s="26">
        <v>1</v>
      </c>
      <c r="CJ2" s="26" t="s">
        <v>301</v>
      </c>
    </row>
    <row r="3" spans="1:88" s="26" customFormat="1">
      <c r="A3" s="26" t="s">
        <v>169</v>
      </c>
      <c r="B3" s="26" t="s">
        <v>181</v>
      </c>
      <c r="C3" s="26" t="s">
        <v>171</v>
      </c>
      <c r="D3" s="26" t="s">
        <v>2</v>
      </c>
      <c r="E3" s="26" t="s">
        <v>2</v>
      </c>
      <c r="F3" s="26" t="s">
        <v>182</v>
      </c>
      <c r="G3" s="26">
        <v>1970</v>
      </c>
      <c r="H3" s="26">
        <v>2011</v>
      </c>
      <c r="I3" s="26" t="s">
        <v>143</v>
      </c>
      <c r="J3" s="26" t="s">
        <v>183</v>
      </c>
      <c r="K3" s="26" t="s">
        <v>184</v>
      </c>
      <c r="L3" s="26" t="s">
        <v>185</v>
      </c>
      <c r="M3" s="26" t="s">
        <v>175</v>
      </c>
      <c r="N3" s="26" t="s">
        <v>4</v>
      </c>
      <c r="O3" s="26" t="s">
        <v>4</v>
      </c>
      <c r="Q3" s="26" t="s">
        <v>73</v>
      </c>
      <c r="R3" s="26" t="s">
        <v>74</v>
      </c>
      <c r="S3" s="26" t="s">
        <v>90</v>
      </c>
      <c r="T3" s="26" t="s">
        <v>97</v>
      </c>
      <c r="U3" s="26" t="s">
        <v>98</v>
      </c>
      <c r="V3" s="26" t="s">
        <v>176</v>
      </c>
      <c r="W3" s="26" t="s">
        <v>49</v>
      </c>
      <c r="X3" s="26">
        <v>0</v>
      </c>
      <c r="Y3" s="26" t="s">
        <v>177</v>
      </c>
      <c r="AC3" s="26">
        <v>0.1</v>
      </c>
      <c r="AO3" s="26">
        <v>2</v>
      </c>
      <c r="AP3" s="26">
        <v>2011</v>
      </c>
      <c r="AQ3" s="26">
        <v>2010</v>
      </c>
      <c r="AT3" s="26">
        <v>577.6</v>
      </c>
      <c r="AV3" s="26" t="s">
        <v>179</v>
      </c>
      <c r="AZ3" s="26">
        <v>577.6</v>
      </c>
      <c r="BH3" s="26">
        <v>0.39300000000000002</v>
      </c>
      <c r="BJ3" s="26" t="s">
        <v>180</v>
      </c>
      <c r="BP3" s="26">
        <v>0.39300000000000002</v>
      </c>
      <c r="BV3" s="26">
        <v>0.30199999999999999</v>
      </c>
      <c r="CB3" s="26">
        <v>679.5</v>
      </c>
      <c r="CI3" s="26">
        <v>1</v>
      </c>
      <c r="CJ3" s="26" t="s">
        <v>301</v>
      </c>
    </row>
    <row r="4" spans="1:88">
      <c r="A4" t="s">
        <v>169</v>
      </c>
      <c r="B4" t="s">
        <v>186</v>
      </c>
      <c r="C4" t="s">
        <v>187</v>
      </c>
      <c r="D4" t="s">
        <v>56</v>
      </c>
      <c r="E4" t="s">
        <v>56</v>
      </c>
      <c r="F4" t="s">
        <v>188</v>
      </c>
      <c r="G4">
        <v>1981</v>
      </c>
      <c r="H4">
        <v>2013</v>
      </c>
      <c r="I4" t="s">
        <v>58</v>
      </c>
      <c r="J4" t="s">
        <v>189</v>
      </c>
      <c r="K4" t="s">
        <v>190</v>
      </c>
      <c r="M4" t="s">
        <v>175</v>
      </c>
      <c r="N4" t="s">
        <v>4</v>
      </c>
      <c r="O4" t="s">
        <v>4</v>
      </c>
      <c r="Q4" t="s">
        <v>73</v>
      </c>
      <c r="R4" t="s">
        <v>74</v>
      </c>
      <c r="S4" t="s">
        <v>78</v>
      </c>
      <c r="T4" t="s">
        <v>79</v>
      </c>
      <c r="U4" t="s">
        <v>104</v>
      </c>
      <c r="V4" t="s">
        <v>191</v>
      </c>
      <c r="W4" t="s">
        <v>55</v>
      </c>
      <c r="X4">
        <v>999</v>
      </c>
      <c r="Y4" t="s">
        <v>177</v>
      </c>
      <c r="AC4">
        <v>0.11</v>
      </c>
      <c r="AO4">
        <v>1</v>
      </c>
      <c r="AP4">
        <v>2006</v>
      </c>
      <c r="AQ4">
        <v>2005</v>
      </c>
      <c r="AT4">
        <v>2127</v>
      </c>
      <c r="AV4" t="s">
        <v>192</v>
      </c>
      <c r="BH4">
        <v>0.184</v>
      </c>
      <c r="BJ4" t="s">
        <v>180</v>
      </c>
      <c r="BP4">
        <v>0.184</v>
      </c>
      <c r="BV4">
        <v>0.18</v>
      </c>
      <c r="BW4" t="s">
        <v>193</v>
      </c>
      <c r="CD4">
        <v>2109</v>
      </c>
      <c r="CE4" t="s">
        <v>194</v>
      </c>
      <c r="CI4">
        <v>1</v>
      </c>
      <c r="CJ4" t="s">
        <v>297</v>
      </c>
    </row>
    <row r="5" spans="1:88">
      <c r="A5" t="s">
        <v>169</v>
      </c>
      <c r="B5" t="s">
        <v>195</v>
      </c>
      <c r="C5" t="s">
        <v>187</v>
      </c>
      <c r="D5" t="s">
        <v>56</v>
      </c>
      <c r="E5" t="s">
        <v>56</v>
      </c>
      <c r="F5" t="s">
        <v>196</v>
      </c>
      <c r="G5">
        <v>1981</v>
      </c>
      <c r="H5">
        <v>2006</v>
      </c>
      <c r="I5" t="s">
        <v>150</v>
      </c>
      <c r="J5" t="s">
        <v>189</v>
      </c>
      <c r="K5" t="s">
        <v>197</v>
      </c>
      <c r="M5" t="s">
        <v>175</v>
      </c>
      <c r="N5" t="s">
        <v>4</v>
      </c>
      <c r="O5" t="s">
        <v>4</v>
      </c>
      <c r="Q5" t="s">
        <v>73</v>
      </c>
      <c r="R5" t="s">
        <v>74</v>
      </c>
      <c r="S5" t="s">
        <v>78</v>
      </c>
      <c r="T5" t="s">
        <v>79</v>
      </c>
      <c r="U5" t="s">
        <v>104</v>
      </c>
      <c r="V5" t="s">
        <v>191</v>
      </c>
      <c r="W5" t="s">
        <v>55</v>
      </c>
      <c r="X5">
        <v>0</v>
      </c>
      <c r="Y5" t="s">
        <v>177</v>
      </c>
      <c r="AC5">
        <v>0.11</v>
      </c>
      <c r="AO5">
        <v>2</v>
      </c>
      <c r="AP5">
        <v>2006</v>
      </c>
      <c r="AQ5">
        <v>2005</v>
      </c>
      <c r="AT5">
        <v>7146</v>
      </c>
      <c r="AV5" t="s">
        <v>192</v>
      </c>
      <c r="BD5">
        <v>7146</v>
      </c>
      <c r="BH5">
        <v>0.18</v>
      </c>
      <c r="BJ5" t="s">
        <v>180</v>
      </c>
      <c r="BP5">
        <v>0.18</v>
      </c>
      <c r="BV5">
        <v>0.34</v>
      </c>
      <c r="BW5" t="s">
        <v>193</v>
      </c>
      <c r="CD5">
        <v>6296</v>
      </c>
      <c r="CE5" t="s">
        <v>194</v>
      </c>
      <c r="CI5">
        <v>1</v>
      </c>
      <c r="CJ5" t="s">
        <v>297</v>
      </c>
    </row>
    <row r="6" spans="1:88">
      <c r="A6" t="s">
        <v>169</v>
      </c>
      <c r="B6" t="s">
        <v>198</v>
      </c>
      <c r="C6" t="s">
        <v>199</v>
      </c>
      <c r="D6" t="s">
        <v>2</v>
      </c>
      <c r="E6" t="s">
        <v>2</v>
      </c>
      <c r="F6" t="s">
        <v>200</v>
      </c>
      <c r="G6">
        <v>1976</v>
      </c>
      <c r="H6">
        <v>2015</v>
      </c>
      <c r="I6" t="s">
        <v>152</v>
      </c>
      <c r="J6" t="s">
        <v>201</v>
      </c>
      <c r="M6" t="s">
        <v>175</v>
      </c>
      <c r="N6" t="s">
        <v>4</v>
      </c>
      <c r="O6" t="s">
        <v>4</v>
      </c>
      <c r="Q6" t="s">
        <v>73</v>
      </c>
      <c r="R6" t="s">
        <v>74</v>
      </c>
      <c r="S6" t="s">
        <v>75</v>
      </c>
      <c r="T6" t="s">
        <v>99</v>
      </c>
      <c r="U6" t="s">
        <v>105</v>
      </c>
      <c r="V6" t="s">
        <v>202</v>
      </c>
      <c r="W6" t="s">
        <v>59</v>
      </c>
      <c r="X6">
        <v>999</v>
      </c>
      <c r="AC6">
        <v>0.14000000000000001</v>
      </c>
      <c r="AO6">
        <v>1</v>
      </c>
      <c r="AP6">
        <v>2008</v>
      </c>
      <c r="AQ6">
        <v>2007</v>
      </c>
      <c r="AT6">
        <v>2560</v>
      </c>
      <c r="AV6" t="s">
        <v>192</v>
      </c>
      <c r="BD6">
        <v>2560</v>
      </c>
      <c r="BH6">
        <v>0.53</v>
      </c>
      <c r="BJ6" t="s">
        <v>180</v>
      </c>
      <c r="BP6">
        <v>0.53</v>
      </c>
      <c r="BV6">
        <v>0.12</v>
      </c>
      <c r="CD6">
        <v>3183</v>
      </c>
      <c r="CE6" t="s">
        <v>194</v>
      </c>
      <c r="CI6">
        <v>1</v>
      </c>
      <c r="CJ6" t="s">
        <v>297</v>
      </c>
    </row>
    <row r="7" spans="1:88">
      <c r="A7" t="s">
        <v>169</v>
      </c>
      <c r="B7" t="s">
        <v>203</v>
      </c>
      <c r="C7" t="s">
        <v>199</v>
      </c>
      <c r="D7" t="s">
        <v>2</v>
      </c>
      <c r="E7" t="s">
        <v>2</v>
      </c>
      <c r="F7" t="s">
        <v>204</v>
      </c>
      <c r="G7">
        <v>1976</v>
      </c>
      <c r="H7">
        <v>2008</v>
      </c>
      <c r="I7" t="s">
        <v>151</v>
      </c>
      <c r="J7" t="s">
        <v>201</v>
      </c>
      <c r="M7" t="s">
        <v>175</v>
      </c>
      <c r="N7" t="s">
        <v>4</v>
      </c>
      <c r="O7" t="s">
        <v>4</v>
      </c>
      <c r="Q7" t="s">
        <v>73</v>
      </c>
      <c r="R7" t="s">
        <v>74</v>
      </c>
      <c r="S7" t="s">
        <v>75</v>
      </c>
      <c r="T7" t="s">
        <v>99</v>
      </c>
      <c r="U7" t="s">
        <v>105</v>
      </c>
      <c r="V7" t="s">
        <v>202</v>
      </c>
      <c r="W7" t="s">
        <v>59</v>
      </c>
      <c r="X7">
        <v>0</v>
      </c>
      <c r="AC7">
        <v>0.14000000000000001</v>
      </c>
      <c r="AO7">
        <v>2</v>
      </c>
      <c r="AP7">
        <v>2008</v>
      </c>
      <c r="AQ7">
        <v>2007</v>
      </c>
      <c r="AT7">
        <v>2051</v>
      </c>
      <c r="AV7" t="s">
        <v>192</v>
      </c>
      <c r="BD7">
        <v>2051</v>
      </c>
      <c r="BH7">
        <v>0.29799999999999999</v>
      </c>
      <c r="BJ7" t="s">
        <v>180</v>
      </c>
      <c r="BP7">
        <v>0.29799999999999999</v>
      </c>
      <c r="BV7">
        <v>0.221</v>
      </c>
      <c r="CD7">
        <v>2592</v>
      </c>
      <c r="CE7" t="s">
        <v>194</v>
      </c>
      <c r="CI7">
        <v>1</v>
      </c>
      <c r="CJ7" t="s">
        <v>297</v>
      </c>
    </row>
    <row r="8" spans="1:88">
      <c r="A8" t="s">
        <v>169</v>
      </c>
      <c r="B8" t="s">
        <v>205</v>
      </c>
      <c r="C8" t="s">
        <v>206</v>
      </c>
      <c r="D8" t="s">
        <v>2</v>
      </c>
      <c r="E8" t="s">
        <v>2</v>
      </c>
      <c r="F8" t="s">
        <v>207</v>
      </c>
      <c r="G8">
        <v>1950</v>
      </c>
      <c r="H8">
        <v>2011</v>
      </c>
      <c r="I8" t="s">
        <v>154</v>
      </c>
      <c r="J8" t="s">
        <v>208</v>
      </c>
      <c r="M8" t="s">
        <v>175</v>
      </c>
      <c r="N8" t="s">
        <v>4</v>
      </c>
      <c r="O8" t="s">
        <v>4</v>
      </c>
      <c r="Q8" t="s">
        <v>73</v>
      </c>
      <c r="R8" t="s">
        <v>83</v>
      </c>
      <c r="S8" t="s">
        <v>84</v>
      </c>
      <c r="T8" t="s">
        <v>85</v>
      </c>
      <c r="U8" t="s">
        <v>106</v>
      </c>
      <c r="V8" t="s">
        <v>209</v>
      </c>
      <c r="W8" t="s">
        <v>61</v>
      </c>
      <c r="X8">
        <v>999</v>
      </c>
      <c r="AC8">
        <v>0.35</v>
      </c>
      <c r="AO8">
        <v>1</v>
      </c>
      <c r="AP8">
        <v>2007</v>
      </c>
      <c r="AT8">
        <v>4459</v>
      </c>
      <c r="AV8" t="s">
        <v>192</v>
      </c>
      <c r="BD8">
        <v>4459</v>
      </c>
      <c r="BH8">
        <v>0.42299999999999999</v>
      </c>
      <c r="BJ8" t="s">
        <v>180</v>
      </c>
      <c r="BP8">
        <v>0.42299999999999999</v>
      </c>
      <c r="BV8">
        <v>0.69</v>
      </c>
      <c r="CD8">
        <v>3266</v>
      </c>
      <c r="CE8" t="s">
        <v>194</v>
      </c>
      <c r="CI8">
        <v>1</v>
      </c>
      <c r="CJ8" t="s">
        <v>301</v>
      </c>
    </row>
    <row r="9" spans="1:88">
      <c r="A9" t="s">
        <v>169</v>
      </c>
      <c r="B9" t="s">
        <v>210</v>
      </c>
      <c r="C9" t="s">
        <v>206</v>
      </c>
      <c r="D9" t="s">
        <v>2</v>
      </c>
      <c r="E9" t="s">
        <v>2</v>
      </c>
      <c r="F9" t="s">
        <v>211</v>
      </c>
      <c r="G9">
        <v>1950</v>
      </c>
      <c r="H9">
        <v>2007</v>
      </c>
      <c r="I9" t="s">
        <v>153</v>
      </c>
      <c r="J9" t="s">
        <v>208</v>
      </c>
      <c r="M9" t="s">
        <v>175</v>
      </c>
      <c r="N9" t="s">
        <v>4</v>
      </c>
      <c r="O9" t="s">
        <v>4</v>
      </c>
      <c r="Q9" t="s">
        <v>73</v>
      </c>
      <c r="R9" t="s">
        <v>83</v>
      </c>
      <c r="S9" t="s">
        <v>84</v>
      </c>
      <c r="T9" t="s">
        <v>85</v>
      </c>
      <c r="U9" t="s">
        <v>106</v>
      </c>
      <c r="V9" t="s">
        <v>209</v>
      </c>
      <c r="W9" t="s">
        <v>61</v>
      </c>
      <c r="X9">
        <v>0</v>
      </c>
      <c r="AC9">
        <v>0.35</v>
      </c>
      <c r="AO9">
        <v>2</v>
      </c>
      <c r="AP9">
        <v>2007</v>
      </c>
      <c r="AT9">
        <v>5671.7280000000001</v>
      </c>
      <c r="AV9" t="s">
        <v>192</v>
      </c>
      <c r="BD9">
        <v>5671.7280000000001</v>
      </c>
      <c r="BH9">
        <v>0.32300000000000001</v>
      </c>
      <c r="BJ9" t="s">
        <v>180</v>
      </c>
      <c r="BP9">
        <v>0.32300000000000001</v>
      </c>
      <c r="BV9">
        <v>0.371</v>
      </c>
      <c r="CD9">
        <v>12438</v>
      </c>
      <c r="CE9" t="s">
        <v>194</v>
      </c>
      <c r="CI9">
        <v>1</v>
      </c>
      <c r="CJ9" t="s">
        <v>301</v>
      </c>
    </row>
    <row r="10" spans="1:88">
      <c r="A10" t="s">
        <v>169</v>
      </c>
      <c r="B10" t="s">
        <v>212</v>
      </c>
      <c r="C10" t="s">
        <v>213</v>
      </c>
      <c r="D10" t="s">
        <v>2</v>
      </c>
      <c r="E10" t="s">
        <v>2</v>
      </c>
      <c r="F10" t="s">
        <v>214</v>
      </c>
      <c r="G10">
        <v>1980</v>
      </c>
      <c r="H10">
        <v>2017</v>
      </c>
      <c r="I10" t="s">
        <v>149</v>
      </c>
      <c r="J10" t="s">
        <v>201</v>
      </c>
      <c r="M10" t="s">
        <v>175</v>
      </c>
      <c r="N10" t="s">
        <v>4</v>
      </c>
      <c r="O10" t="s">
        <v>4</v>
      </c>
      <c r="Q10" t="s">
        <v>73</v>
      </c>
      <c r="R10" t="s">
        <v>74</v>
      </c>
      <c r="S10" t="s">
        <v>101</v>
      </c>
      <c r="T10" t="s">
        <v>102</v>
      </c>
      <c r="U10" t="s">
        <v>103</v>
      </c>
      <c r="V10" t="s">
        <v>215</v>
      </c>
      <c r="W10" t="s">
        <v>53</v>
      </c>
      <c r="X10">
        <v>999</v>
      </c>
      <c r="AE10" t="s">
        <v>216</v>
      </c>
      <c r="AO10">
        <v>1</v>
      </c>
      <c r="AP10">
        <v>2006</v>
      </c>
      <c r="AT10">
        <v>4480</v>
      </c>
      <c r="AV10" t="s">
        <v>192</v>
      </c>
      <c r="BD10">
        <v>4480</v>
      </c>
      <c r="BH10">
        <v>0.36</v>
      </c>
      <c r="BJ10" t="s">
        <v>180</v>
      </c>
      <c r="BP10">
        <v>0.36</v>
      </c>
      <c r="BV10">
        <v>0.68600000000000005</v>
      </c>
      <c r="CD10">
        <v>3291</v>
      </c>
      <c r="CE10" t="s">
        <v>194</v>
      </c>
      <c r="CI10">
        <v>1</v>
      </c>
      <c r="CJ10" t="s">
        <v>297</v>
      </c>
    </row>
    <row r="11" spans="1:88">
      <c r="A11" t="s">
        <v>169</v>
      </c>
      <c r="B11" t="s">
        <v>217</v>
      </c>
      <c r="C11" t="s">
        <v>213</v>
      </c>
      <c r="D11" t="s">
        <v>2</v>
      </c>
      <c r="E11" t="s">
        <v>2</v>
      </c>
      <c r="F11" t="s">
        <v>32</v>
      </c>
      <c r="G11">
        <v>1946</v>
      </c>
      <c r="H11">
        <v>2006</v>
      </c>
      <c r="I11" t="s">
        <v>148</v>
      </c>
      <c r="J11" t="s">
        <v>218</v>
      </c>
      <c r="M11" t="s">
        <v>175</v>
      </c>
      <c r="N11" t="s">
        <v>4</v>
      </c>
      <c r="O11" t="s">
        <v>4</v>
      </c>
      <c r="Q11" t="s">
        <v>73</v>
      </c>
      <c r="R11" t="s">
        <v>74</v>
      </c>
      <c r="S11" t="s">
        <v>101</v>
      </c>
      <c r="T11" t="s">
        <v>102</v>
      </c>
      <c r="U11" t="s">
        <v>103</v>
      </c>
      <c r="V11" t="s">
        <v>215</v>
      </c>
      <c r="W11" t="s">
        <v>53</v>
      </c>
      <c r="X11">
        <v>0</v>
      </c>
      <c r="AE11" t="s">
        <v>219</v>
      </c>
      <c r="AO11">
        <v>2</v>
      </c>
      <c r="AP11">
        <v>2006</v>
      </c>
      <c r="AT11">
        <v>2126</v>
      </c>
      <c r="AV11" t="s">
        <v>192</v>
      </c>
      <c r="BD11">
        <v>2126</v>
      </c>
      <c r="BH11">
        <v>0.22500000000000001</v>
      </c>
      <c r="BJ11" t="s">
        <v>180</v>
      </c>
      <c r="BP11">
        <v>0.22500000000000001</v>
      </c>
      <c r="BV11">
        <v>0.42399999999999999</v>
      </c>
      <c r="CD11">
        <v>1940</v>
      </c>
      <c r="CE11" t="s">
        <v>194</v>
      </c>
      <c r="CI11">
        <v>1</v>
      </c>
      <c r="CJ11" t="s">
        <v>297</v>
      </c>
    </row>
    <row r="12" spans="1:88">
      <c r="A12" t="s">
        <v>169</v>
      </c>
      <c r="B12" t="s">
        <v>310</v>
      </c>
      <c r="C12" t="s">
        <v>311</v>
      </c>
      <c r="D12" t="s">
        <v>2</v>
      </c>
      <c r="E12" t="s">
        <v>2</v>
      </c>
      <c r="F12" t="s">
        <v>312</v>
      </c>
      <c r="G12">
        <v>1974</v>
      </c>
      <c r="H12">
        <v>2018</v>
      </c>
      <c r="I12" t="s">
        <v>142</v>
      </c>
      <c r="J12" t="s">
        <v>300</v>
      </c>
      <c r="M12" t="s">
        <v>175</v>
      </c>
      <c r="N12" t="s">
        <v>4</v>
      </c>
      <c r="O12" t="s">
        <v>4</v>
      </c>
      <c r="Q12" t="s">
        <v>73</v>
      </c>
      <c r="R12" t="s">
        <v>74</v>
      </c>
      <c r="S12" t="s">
        <v>75</v>
      </c>
      <c r="T12" t="s">
        <v>95</v>
      </c>
      <c r="U12" t="s">
        <v>96</v>
      </c>
      <c r="V12" t="s">
        <v>326</v>
      </c>
      <c r="W12" t="s">
        <v>47</v>
      </c>
      <c r="AC12">
        <v>0.08</v>
      </c>
      <c r="AO12">
        <v>1</v>
      </c>
      <c r="AP12">
        <v>2012</v>
      </c>
      <c r="AT12">
        <v>680</v>
      </c>
      <c r="AV12" t="s">
        <v>192</v>
      </c>
      <c r="BD12">
        <v>680</v>
      </c>
      <c r="BH12">
        <v>0.44900000000000001</v>
      </c>
      <c r="BJ12" t="s">
        <v>180</v>
      </c>
      <c r="BP12">
        <v>0.44900000000000001</v>
      </c>
      <c r="BV12">
        <v>0.10100000000000001</v>
      </c>
      <c r="CD12">
        <v>1908</v>
      </c>
      <c r="CI12">
        <v>1</v>
      </c>
      <c r="CJ12" t="s">
        <v>297</v>
      </c>
    </row>
    <row r="13" spans="1:88">
      <c r="A13" t="s">
        <v>169</v>
      </c>
      <c r="B13" t="s">
        <v>313</v>
      </c>
      <c r="C13" t="s">
        <v>311</v>
      </c>
      <c r="D13" t="s">
        <v>2</v>
      </c>
      <c r="E13" t="s">
        <v>2</v>
      </c>
      <c r="F13" t="s">
        <v>314</v>
      </c>
      <c r="G13">
        <v>1974</v>
      </c>
      <c r="H13">
        <v>2012</v>
      </c>
      <c r="I13" t="s">
        <v>141</v>
      </c>
      <c r="J13" t="s">
        <v>300</v>
      </c>
      <c r="M13" t="s">
        <v>175</v>
      </c>
      <c r="N13" t="s">
        <v>4</v>
      </c>
      <c r="O13" t="s">
        <v>4</v>
      </c>
      <c r="Q13" t="s">
        <v>73</v>
      </c>
      <c r="R13" t="s">
        <v>74</v>
      </c>
      <c r="S13" t="s">
        <v>75</v>
      </c>
      <c r="T13" t="s">
        <v>95</v>
      </c>
      <c r="U13" t="s">
        <v>96</v>
      </c>
      <c r="V13" t="s">
        <v>326</v>
      </c>
      <c r="W13" t="s">
        <v>47</v>
      </c>
      <c r="AC13">
        <v>0.12</v>
      </c>
      <c r="AE13" t="s">
        <v>315</v>
      </c>
      <c r="AO13">
        <v>2</v>
      </c>
      <c r="AP13">
        <v>2012</v>
      </c>
      <c r="AT13">
        <v>427</v>
      </c>
      <c r="AV13" t="s">
        <v>192</v>
      </c>
      <c r="BD13">
        <v>427</v>
      </c>
      <c r="BH13">
        <v>0.17960000000000001</v>
      </c>
      <c r="BJ13" t="s">
        <v>180</v>
      </c>
      <c r="BP13">
        <v>0.17960000000000001</v>
      </c>
      <c r="BV13">
        <v>0.14399999999999999</v>
      </c>
      <c r="CD13">
        <v>872</v>
      </c>
      <c r="CI13">
        <v>1</v>
      </c>
      <c r="CJ13" t="s">
        <v>297</v>
      </c>
    </row>
    <row r="14" spans="1:88">
      <c r="A14" t="s">
        <v>169</v>
      </c>
      <c r="B14" t="s">
        <v>316</v>
      </c>
      <c r="C14" t="s">
        <v>317</v>
      </c>
      <c r="D14" t="s">
        <v>56</v>
      </c>
      <c r="E14" t="s">
        <v>56</v>
      </c>
      <c r="F14" t="s">
        <v>318</v>
      </c>
      <c r="G14">
        <v>1981</v>
      </c>
      <c r="H14">
        <v>2017</v>
      </c>
      <c r="I14" t="s">
        <v>156</v>
      </c>
      <c r="J14" t="s">
        <v>319</v>
      </c>
      <c r="M14" t="s">
        <v>175</v>
      </c>
      <c r="N14" t="s">
        <v>4</v>
      </c>
      <c r="O14" t="s">
        <v>4</v>
      </c>
      <c r="Q14" t="s">
        <v>73</v>
      </c>
      <c r="R14" t="s">
        <v>74</v>
      </c>
      <c r="S14" t="s">
        <v>78</v>
      </c>
      <c r="T14" t="s">
        <v>107</v>
      </c>
      <c r="U14" t="s">
        <v>108</v>
      </c>
      <c r="V14" t="s">
        <v>320</v>
      </c>
      <c r="W14" t="s">
        <v>63</v>
      </c>
      <c r="AC14">
        <v>0.16</v>
      </c>
      <c r="AE14" t="s">
        <v>321</v>
      </c>
      <c r="AO14">
        <v>1</v>
      </c>
      <c r="AP14">
        <v>2010</v>
      </c>
      <c r="AT14">
        <v>2625</v>
      </c>
      <c r="AV14" t="s">
        <v>192</v>
      </c>
      <c r="BD14">
        <v>2625</v>
      </c>
      <c r="BH14">
        <v>0.23200000000000001</v>
      </c>
      <c r="BJ14" t="s">
        <v>180</v>
      </c>
      <c r="BP14">
        <v>0.23200000000000001</v>
      </c>
      <c r="CD14">
        <v>1904</v>
      </c>
    </row>
    <row r="15" spans="1:88">
      <c r="A15" t="s">
        <v>169</v>
      </c>
      <c r="B15" t="s">
        <v>322</v>
      </c>
      <c r="C15" t="s">
        <v>317</v>
      </c>
      <c r="D15" t="s">
        <v>56</v>
      </c>
      <c r="E15" t="s">
        <v>56</v>
      </c>
      <c r="F15" t="s">
        <v>323</v>
      </c>
      <c r="G15">
        <v>1981</v>
      </c>
      <c r="H15">
        <v>2010</v>
      </c>
      <c r="I15" t="s">
        <v>156</v>
      </c>
      <c r="J15" t="s">
        <v>324</v>
      </c>
      <c r="M15" t="s">
        <v>175</v>
      </c>
      <c r="N15" t="s">
        <v>4</v>
      </c>
      <c r="O15" t="s">
        <v>4</v>
      </c>
      <c r="Q15" t="s">
        <v>73</v>
      </c>
      <c r="R15" t="s">
        <v>74</v>
      </c>
      <c r="S15" t="s">
        <v>78</v>
      </c>
      <c r="T15" t="s">
        <v>107</v>
      </c>
      <c r="U15" t="s">
        <v>108</v>
      </c>
      <c r="V15" t="s">
        <v>320</v>
      </c>
      <c r="W15" t="s">
        <v>63</v>
      </c>
      <c r="AC15">
        <v>0.13</v>
      </c>
      <c r="AE15" t="s">
        <v>325</v>
      </c>
      <c r="AO15">
        <v>2</v>
      </c>
      <c r="AP15">
        <v>2010</v>
      </c>
      <c r="AT15">
        <v>10329</v>
      </c>
      <c r="AV15" t="s">
        <v>192</v>
      </c>
      <c r="BD15">
        <v>10329</v>
      </c>
      <c r="BH15">
        <v>4.4999999999999998E-2</v>
      </c>
      <c r="BJ15" t="s">
        <v>180</v>
      </c>
      <c r="BP15">
        <v>4.4999999999999998E-2</v>
      </c>
      <c r="BV15">
        <v>0.28999999999999998</v>
      </c>
      <c r="CD15">
        <v>3072</v>
      </c>
    </row>
    <row r="16" spans="1:88">
      <c r="A16" t="s">
        <v>169</v>
      </c>
      <c r="B16" t="s">
        <v>352</v>
      </c>
      <c r="C16" t="s">
        <v>353</v>
      </c>
      <c r="D16" t="s">
        <v>2</v>
      </c>
      <c r="E16" t="s">
        <v>2</v>
      </c>
      <c r="F16" t="s">
        <v>15</v>
      </c>
      <c r="G16">
        <v>1950</v>
      </c>
      <c r="H16">
        <v>2019</v>
      </c>
      <c r="I16" t="s">
        <v>14</v>
      </c>
      <c r="J16" t="s">
        <v>300</v>
      </c>
      <c r="Q16" t="s">
        <v>73</v>
      </c>
      <c r="R16" t="s">
        <v>74</v>
      </c>
      <c r="S16" t="s">
        <v>78</v>
      </c>
      <c r="T16" t="s">
        <v>79</v>
      </c>
      <c r="U16" t="s">
        <v>80</v>
      </c>
      <c r="V16" t="s">
        <v>354</v>
      </c>
      <c r="W16" t="s">
        <v>13</v>
      </c>
      <c r="X16">
        <v>999</v>
      </c>
      <c r="Y16" t="s">
        <v>177</v>
      </c>
      <c r="AC16">
        <v>0.13</v>
      </c>
      <c r="AO16">
        <v>1</v>
      </c>
      <c r="AP16">
        <v>2014</v>
      </c>
      <c r="AT16">
        <v>142000</v>
      </c>
      <c r="AV16" t="s">
        <v>355</v>
      </c>
      <c r="BD16">
        <v>142000</v>
      </c>
      <c r="BH16">
        <v>0.53700000000000003</v>
      </c>
      <c r="BJ16" t="s">
        <v>180</v>
      </c>
      <c r="BP16">
        <v>0.53700000000000003</v>
      </c>
      <c r="BV16">
        <v>0.20599999999999999</v>
      </c>
      <c r="CD16">
        <v>635426</v>
      </c>
      <c r="CE16" t="s">
        <v>355</v>
      </c>
      <c r="CI16">
        <v>1</v>
      </c>
      <c r="CJ16" t="s">
        <v>301</v>
      </c>
    </row>
    <row r="17" spans="1:88">
      <c r="A17" t="s">
        <v>169</v>
      </c>
      <c r="B17" t="s">
        <v>356</v>
      </c>
      <c r="C17" t="s">
        <v>353</v>
      </c>
      <c r="D17" t="s">
        <v>2</v>
      </c>
      <c r="E17" t="s">
        <v>2</v>
      </c>
      <c r="F17" t="s">
        <v>18</v>
      </c>
      <c r="G17">
        <v>1950</v>
      </c>
      <c r="H17">
        <v>2014</v>
      </c>
      <c r="I17" t="s">
        <v>17</v>
      </c>
      <c r="J17" t="s">
        <v>300</v>
      </c>
      <c r="Q17" t="s">
        <v>73</v>
      </c>
      <c r="R17" t="s">
        <v>74</v>
      </c>
      <c r="S17" t="s">
        <v>78</v>
      </c>
      <c r="T17" t="s">
        <v>79</v>
      </c>
      <c r="U17" t="s">
        <v>80</v>
      </c>
      <c r="V17" t="s">
        <v>354</v>
      </c>
      <c r="W17" t="s">
        <v>13</v>
      </c>
      <c r="X17">
        <v>0</v>
      </c>
      <c r="Y17" t="s">
        <v>177</v>
      </c>
      <c r="AC17">
        <v>0.13</v>
      </c>
      <c r="AO17">
        <v>2</v>
      </c>
      <c r="AP17">
        <v>2014</v>
      </c>
      <c r="AT17">
        <v>54037</v>
      </c>
      <c r="AV17" t="s">
        <v>355</v>
      </c>
      <c r="BD17">
        <v>54037</v>
      </c>
      <c r="BH17">
        <v>0.41499999999999998</v>
      </c>
      <c r="BJ17" t="s">
        <v>180</v>
      </c>
      <c r="BP17">
        <v>0.41499999999999998</v>
      </c>
      <c r="BV17">
        <v>0.14599999999999999</v>
      </c>
      <c r="CD17">
        <v>328552</v>
      </c>
      <c r="CE17" t="s">
        <v>355</v>
      </c>
      <c r="CI17">
        <v>1</v>
      </c>
      <c r="CJ17" t="s">
        <v>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D742E-E60F-3045-A795-05A27FBD51AC}">
  <dimension ref="A1:CJ37"/>
  <sheetViews>
    <sheetView topLeftCell="A11" workbookViewId="0">
      <selection activeCell="AP19" sqref="AP19"/>
    </sheetView>
  </sheetViews>
  <sheetFormatPr baseColWidth="10" defaultRowHeight="16"/>
  <sheetData>
    <row r="1" spans="1:88">
      <c r="A1" t="s">
        <v>220</v>
      </c>
      <c r="B1" t="s">
        <v>124</v>
      </c>
      <c r="C1" t="s">
        <v>123</v>
      </c>
      <c r="D1" t="s">
        <v>125</v>
      </c>
      <c r="E1" t="s">
        <v>221</v>
      </c>
      <c r="F1" t="s">
        <v>126</v>
      </c>
      <c r="G1" t="s">
        <v>222</v>
      </c>
      <c r="H1" t="s">
        <v>223</v>
      </c>
      <c r="I1" t="s">
        <v>224</v>
      </c>
      <c r="J1" t="s">
        <v>225</v>
      </c>
      <c r="K1" t="s">
        <v>226</v>
      </c>
      <c r="L1" t="s">
        <v>227</v>
      </c>
      <c r="M1" t="s">
        <v>228</v>
      </c>
      <c r="N1" t="s">
        <v>127</v>
      </c>
      <c r="O1" t="s">
        <v>229</v>
      </c>
      <c r="P1" t="s">
        <v>128</v>
      </c>
      <c r="Q1" t="s">
        <v>130</v>
      </c>
      <c r="R1" t="s">
        <v>131</v>
      </c>
      <c r="S1" t="s">
        <v>132</v>
      </c>
      <c r="T1" t="s">
        <v>133</v>
      </c>
      <c r="U1" t="s">
        <v>134</v>
      </c>
      <c r="V1" t="s">
        <v>135</v>
      </c>
      <c r="W1" t="s">
        <v>136</v>
      </c>
      <c r="X1" t="s">
        <v>230</v>
      </c>
      <c r="Y1" t="s">
        <v>231</v>
      </c>
      <c r="Z1" t="s">
        <v>232</v>
      </c>
      <c r="AA1" t="s">
        <v>233</v>
      </c>
      <c r="AB1" t="s">
        <v>234</v>
      </c>
      <c r="AC1" t="s">
        <v>235</v>
      </c>
      <c r="AD1" t="s">
        <v>236</v>
      </c>
      <c r="AE1" t="s">
        <v>237</v>
      </c>
      <c r="AF1" t="s">
        <v>238</v>
      </c>
      <c r="AG1" t="s">
        <v>239</v>
      </c>
      <c r="AH1" t="s">
        <v>240</v>
      </c>
      <c r="AI1" t="s">
        <v>241</v>
      </c>
      <c r="AJ1" t="s">
        <v>242</v>
      </c>
      <c r="AK1" t="s">
        <v>243</v>
      </c>
      <c r="AL1" t="s">
        <v>244</v>
      </c>
      <c r="AM1" t="s">
        <v>245</v>
      </c>
      <c r="AN1" t="s">
        <v>246</v>
      </c>
      <c r="AO1" t="s">
        <v>247</v>
      </c>
      <c r="AP1" t="s">
        <v>248</v>
      </c>
      <c r="AQ1" t="s">
        <v>249</v>
      </c>
      <c r="AR1" t="s">
        <v>250</v>
      </c>
      <c r="AS1" t="s">
        <v>251</v>
      </c>
      <c r="AT1" t="s">
        <v>252</v>
      </c>
      <c r="AU1" t="s">
        <v>253</v>
      </c>
      <c r="AV1" t="s">
        <v>254</v>
      </c>
      <c r="AW1" t="s">
        <v>255</v>
      </c>
      <c r="AX1" t="s">
        <v>256</v>
      </c>
      <c r="AY1" t="s">
        <v>257</v>
      </c>
      <c r="AZ1" t="s">
        <v>258</v>
      </c>
      <c r="BA1" t="s">
        <v>259</v>
      </c>
      <c r="BB1" t="s">
        <v>260</v>
      </c>
      <c r="BC1" t="s">
        <v>261</v>
      </c>
      <c r="BD1" t="s">
        <v>262</v>
      </c>
      <c r="BE1" t="s">
        <v>263</v>
      </c>
      <c r="BF1" t="s">
        <v>264</v>
      </c>
      <c r="BG1" t="s">
        <v>265</v>
      </c>
      <c r="BH1" t="s">
        <v>266</v>
      </c>
      <c r="BI1" t="s">
        <v>267</v>
      </c>
      <c r="BJ1" t="s">
        <v>268</v>
      </c>
      <c r="BK1" t="s">
        <v>269</v>
      </c>
      <c r="BL1" t="s">
        <v>270</v>
      </c>
      <c r="BM1" t="s">
        <v>271</v>
      </c>
      <c r="BN1" t="s">
        <v>272</v>
      </c>
      <c r="BO1" t="s">
        <v>273</v>
      </c>
      <c r="BP1" t="s">
        <v>274</v>
      </c>
      <c r="BQ1" t="s">
        <v>275</v>
      </c>
      <c r="BR1" t="s">
        <v>276</v>
      </c>
      <c r="BS1" t="s">
        <v>277</v>
      </c>
      <c r="BT1" t="s">
        <v>278</v>
      </c>
      <c r="BU1" t="s">
        <v>279</v>
      </c>
      <c r="BV1" t="s">
        <v>280</v>
      </c>
      <c r="BW1" t="s">
        <v>281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288</v>
      </c>
      <c r="CE1" t="s">
        <v>289</v>
      </c>
      <c r="CF1" t="s">
        <v>290</v>
      </c>
      <c r="CG1" t="s">
        <v>291</v>
      </c>
      <c r="CH1" t="s">
        <v>292</v>
      </c>
      <c r="CI1" t="s">
        <v>293</v>
      </c>
      <c r="CJ1" t="s">
        <v>294</v>
      </c>
    </row>
    <row r="2" spans="1:88" ht="17" customHeight="1">
      <c r="A2" t="s">
        <v>169</v>
      </c>
      <c r="B2" t="s">
        <v>295</v>
      </c>
      <c r="C2" t="s">
        <v>296</v>
      </c>
      <c r="D2" t="s">
        <v>2</v>
      </c>
      <c r="E2" t="s">
        <v>2</v>
      </c>
      <c r="F2" t="s">
        <v>42</v>
      </c>
      <c r="G2">
        <v>1972</v>
      </c>
      <c r="H2">
        <v>2004</v>
      </c>
      <c r="I2" t="s">
        <v>41</v>
      </c>
      <c r="J2" t="s">
        <v>208</v>
      </c>
      <c r="Q2" t="s">
        <v>73</v>
      </c>
      <c r="R2" t="s">
        <v>74</v>
      </c>
      <c r="S2" t="s">
        <v>87</v>
      </c>
      <c r="T2" t="s">
        <v>88</v>
      </c>
      <c r="U2" t="s">
        <v>89</v>
      </c>
      <c r="V2" t="s">
        <v>327</v>
      </c>
      <c r="W2" t="s">
        <v>35</v>
      </c>
      <c r="X2">
        <v>0</v>
      </c>
      <c r="Y2" t="s">
        <v>177</v>
      </c>
      <c r="AC2">
        <v>0.22500000000000001</v>
      </c>
      <c r="AO2">
        <v>3</v>
      </c>
      <c r="AP2">
        <v>2004</v>
      </c>
      <c r="AT2">
        <v>1581</v>
      </c>
      <c r="AV2" t="s">
        <v>192</v>
      </c>
      <c r="BD2">
        <v>1581</v>
      </c>
      <c r="BH2">
        <v>0.13200000000000001</v>
      </c>
      <c r="BJ2" t="s">
        <v>180</v>
      </c>
      <c r="BP2">
        <v>0.13200000000000001</v>
      </c>
      <c r="BV2">
        <v>0.2</v>
      </c>
      <c r="CD2">
        <v>3236</v>
      </c>
      <c r="CI2">
        <v>1</v>
      </c>
      <c r="CJ2" t="s">
        <v>297</v>
      </c>
    </row>
    <row r="3" spans="1:88">
      <c r="A3" t="s">
        <v>169</v>
      </c>
      <c r="B3" t="s">
        <v>298</v>
      </c>
      <c r="C3" t="s">
        <v>296</v>
      </c>
      <c r="D3" t="s">
        <v>2</v>
      </c>
      <c r="E3" t="s">
        <v>2</v>
      </c>
      <c r="F3" t="s">
        <v>40</v>
      </c>
      <c r="G3">
        <v>1972</v>
      </c>
      <c r="H3">
        <v>2011</v>
      </c>
      <c r="I3" t="s">
        <v>39</v>
      </c>
      <c r="J3" t="s">
        <v>208</v>
      </c>
      <c r="Q3" t="s">
        <v>73</v>
      </c>
      <c r="R3" t="s">
        <v>74</v>
      </c>
      <c r="S3" t="s">
        <v>87</v>
      </c>
      <c r="T3" t="s">
        <v>88</v>
      </c>
      <c r="U3" t="s">
        <v>89</v>
      </c>
      <c r="V3" t="s">
        <v>327</v>
      </c>
      <c r="W3" t="s">
        <v>35</v>
      </c>
      <c r="X3">
        <v>0</v>
      </c>
      <c r="Y3" t="s">
        <v>177</v>
      </c>
      <c r="AC3">
        <v>0.22500000000000001</v>
      </c>
      <c r="AO3">
        <v>2</v>
      </c>
      <c r="AP3">
        <v>2004</v>
      </c>
      <c r="AT3">
        <v>1581</v>
      </c>
      <c r="AV3" t="s">
        <v>192</v>
      </c>
      <c r="BD3">
        <v>1581</v>
      </c>
      <c r="BH3">
        <v>0.13200000000000001</v>
      </c>
      <c r="BJ3" t="s">
        <v>180</v>
      </c>
      <c r="BP3">
        <v>0.13200000000000001</v>
      </c>
      <c r="BV3">
        <v>0.17299999999999999</v>
      </c>
      <c r="CD3">
        <v>3933</v>
      </c>
      <c r="CI3">
        <v>1</v>
      </c>
      <c r="CJ3" t="s">
        <v>297</v>
      </c>
    </row>
    <row r="4" spans="1:88">
      <c r="A4" t="s">
        <v>169</v>
      </c>
      <c r="B4" t="s">
        <v>295</v>
      </c>
      <c r="C4" t="s">
        <v>296</v>
      </c>
      <c r="D4" t="s">
        <v>2</v>
      </c>
      <c r="E4" t="s">
        <v>2</v>
      </c>
      <c r="F4" t="s">
        <v>42</v>
      </c>
      <c r="G4">
        <v>1972</v>
      </c>
      <c r="H4">
        <v>2004</v>
      </c>
      <c r="I4" t="s">
        <v>41</v>
      </c>
      <c r="J4" t="s">
        <v>208</v>
      </c>
      <c r="Q4" t="s">
        <v>73</v>
      </c>
      <c r="R4" t="s">
        <v>74</v>
      </c>
      <c r="S4" t="s">
        <v>87</v>
      </c>
      <c r="T4" t="s">
        <v>88</v>
      </c>
      <c r="U4" t="s">
        <v>89</v>
      </c>
      <c r="V4" t="s">
        <v>327</v>
      </c>
      <c r="W4" t="s">
        <v>35</v>
      </c>
      <c r="X4">
        <v>0</v>
      </c>
      <c r="Y4" t="s">
        <v>177</v>
      </c>
      <c r="AC4">
        <v>0.22500000000000001</v>
      </c>
      <c r="AO4">
        <v>3</v>
      </c>
      <c r="AP4">
        <v>2004</v>
      </c>
      <c r="AT4">
        <v>1581</v>
      </c>
      <c r="AV4" t="s">
        <v>192</v>
      </c>
      <c r="BD4">
        <v>1581</v>
      </c>
      <c r="BH4">
        <v>0.13200000000000001</v>
      </c>
      <c r="BJ4" t="s">
        <v>180</v>
      </c>
      <c r="BP4">
        <v>0.13200000000000001</v>
      </c>
      <c r="BV4">
        <v>0.2</v>
      </c>
      <c r="CD4">
        <v>3236</v>
      </c>
      <c r="CI4">
        <v>2</v>
      </c>
      <c r="CJ4" t="s">
        <v>297</v>
      </c>
    </row>
    <row r="5" spans="1:88">
      <c r="A5" t="s">
        <v>169</v>
      </c>
      <c r="B5" t="s">
        <v>299</v>
      </c>
      <c r="C5" t="s">
        <v>296</v>
      </c>
      <c r="D5" t="s">
        <v>2</v>
      </c>
      <c r="E5" t="s">
        <v>2</v>
      </c>
      <c r="F5" t="s">
        <v>37</v>
      </c>
      <c r="G5">
        <v>1972</v>
      </c>
      <c r="H5">
        <v>2017</v>
      </c>
      <c r="I5" t="s">
        <v>36</v>
      </c>
      <c r="J5" t="s">
        <v>300</v>
      </c>
      <c r="Q5" t="s">
        <v>73</v>
      </c>
      <c r="R5" t="s">
        <v>74</v>
      </c>
      <c r="S5" t="s">
        <v>87</v>
      </c>
      <c r="T5" t="s">
        <v>88</v>
      </c>
      <c r="U5" t="s">
        <v>89</v>
      </c>
      <c r="V5" t="s">
        <v>327</v>
      </c>
      <c r="W5" t="s">
        <v>35</v>
      </c>
      <c r="X5">
        <v>999</v>
      </c>
      <c r="Y5" t="s">
        <v>177</v>
      </c>
      <c r="AC5">
        <v>0.22</v>
      </c>
      <c r="AE5" t="s">
        <v>328</v>
      </c>
      <c r="AO5">
        <v>1</v>
      </c>
      <c r="AP5">
        <v>2004</v>
      </c>
      <c r="AT5">
        <v>1180</v>
      </c>
      <c r="AV5" t="s">
        <v>192</v>
      </c>
      <c r="BD5">
        <v>1180</v>
      </c>
      <c r="BH5">
        <v>0.22900000000000001</v>
      </c>
      <c r="BJ5" t="s">
        <v>180</v>
      </c>
      <c r="BP5">
        <v>0.22900000000000001</v>
      </c>
      <c r="BV5">
        <v>0.18</v>
      </c>
      <c r="CD5">
        <v>2884</v>
      </c>
      <c r="CI5">
        <v>2</v>
      </c>
      <c r="CJ5" t="s">
        <v>297</v>
      </c>
    </row>
    <row r="6" spans="1:88">
      <c r="A6" t="s">
        <v>169</v>
      </c>
      <c r="B6" t="s">
        <v>298</v>
      </c>
      <c r="C6" t="s">
        <v>296</v>
      </c>
      <c r="D6" t="s">
        <v>2</v>
      </c>
      <c r="E6" t="s">
        <v>2</v>
      </c>
      <c r="F6" t="s">
        <v>40</v>
      </c>
      <c r="G6">
        <v>1972</v>
      </c>
      <c r="H6">
        <v>2011</v>
      </c>
      <c r="I6" t="s">
        <v>39</v>
      </c>
      <c r="J6" t="s">
        <v>208</v>
      </c>
      <c r="Q6" t="s">
        <v>73</v>
      </c>
      <c r="R6" t="s">
        <v>74</v>
      </c>
      <c r="S6" t="s">
        <v>87</v>
      </c>
      <c r="T6" t="s">
        <v>88</v>
      </c>
      <c r="U6" t="s">
        <v>89</v>
      </c>
      <c r="V6" t="s">
        <v>327</v>
      </c>
      <c r="W6" t="s">
        <v>35</v>
      </c>
      <c r="X6">
        <v>0</v>
      </c>
      <c r="Y6" t="s">
        <v>177</v>
      </c>
      <c r="AC6">
        <v>0.22500000000000001</v>
      </c>
      <c r="AO6">
        <v>2</v>
      </c>
      <c r="AP6">
        <v>2011</v>
      </c>
      <c r="AT6">
        <v>1871</v>
      </c>
      <c r="AV6" t="s">
        <v>192</v>
      </c>
      <c r="BD6">
        <v>1871</v>
      </c>
      <c r="BH6">
        <v>0.13200000000000001</v>
      </c>
      <c r="BJ6" t="s">
        <v>180</v>
      </c>
      <c r="BP6">
        <v>0.13200000000000001</v>
      </c>
      <c r="BV6">
        <v>0.17299999999999999</v>
      </c>
      <c r="CD6">
        <v>3933</v>
      </c>
      <c r="CI6">
        <v>3</v>
      </c>
      <c r="CJ6" t="s">
        <v>301</v>
      </c>
    </row>
    <row r="7" spans="1:88">
      <c r="A7" t="s">
        <v>169</v>
      </c>
      <c r="B7" t="s">
        <v>299</v>
      </c>
      <c r="C7" t="s">
        <v>296</v>
      </c>
      <c r="D7" t="s">
        <v>2</v>
      </c>
      <c r="E7" t="s">
        <v>2</v>
      </c>
      <c r="F7" t="s">
        <v>37</v>
      </c>
      <c r="G7">
        <v>1972</v>
      </c>
      <c r="H7">
        <v>2017</v>
      </c>
      <c r="I7" t="s">
        <v>36</v>
      </c>
      <c r="J7" t="s">
        <v>300</v>
      </c>
      <c r="Q7" t="s">
        <v>73</v>
      </c>
      <c r="R7" t="s">
        <v>74</v>
      </c>
      <c r="S7" t="s">
        <v>87</v>
      </c>
      <c r="T7" t="s">
        <v>88</v>
      </c>
      <c r="U7" t="s">
        <v>89</v>
      </c>
      <c r="V7" t="s">
        <v>327</v>
      </c>
      <c r="W7" t="s">
        <v>35</v>
      </c>
      <c r="X7">
        <v>999</v>
      </c>
      <c r="Y7" t="s">
        <v>177</v>
      </c>
      <c r="AC7">
        <v>0.22</v>
      </c>
      <c r="AE7" t="s">
        <v>328</v>
      </c>
      <c r="AO7">
        <v>1</v>
      </c>
      <c r="AP7">
        <v>2011</v>
      </c>
      <c r="AT7">
        <v>1461</v>
      </c>
      <c r="AV7" t="s">
        <v>192</v>
      </c>
      <c r="BD7">
        <v>1461</v>
      </c>
      <c r="BH7">
        <v>0.216</v>
      </c>
      <c r="BJ7" t="s">
        <v>180</v>
      </c>
      <c r="BP7">
        <v>0.216</v>
      </c>
      <c r="BV7">
        <v>0.18</v>
      </c>
      <c r="CD7">
        <v>2884</v>
      </c>
      <c r="CI7">
        <v>3</v>
      </c>
      <c r="CJ7" t="s">
        <v>301</v>
      </c>
    </row>
    <row r="8" spans="1:88">
      <c r="A8" t="s">
        <v>169</v>
      </c>
      <c r="B8" t="s">
        <v>302</v>
      </c>
      <c r="C8" t="s">
        <v>45</v>
      </c>
      <c r="D8" t="s">
        <v>2</v>
      </c>
      <c r="E8" t="s">
        <v>2</v>
      </c>
      <c r="F8" t="s">
        <v>303</v>
      </c>
      <c r="G8">
        <v>1962</v>
      </c>
      <c r="H8">
        <v>2004</v>
      </c>
      <c r="I8" t="s">
        <v>137</v>
      </c>
      <c r="J8" t="s">
        <v>300</v>
      </c>
      <c r="Q8" t="s">
        <v>73</v>
      </c>
      <c r="R8" t="s">
        <v>74</v>
      </c>
      <c r="S8" t="s">
        <v>75</v>
      </c>
      <c r="T8" t="s">
        <v>93</v>
      </c>
      <c r="U8" t="s">
        <v>94</v>
      </c>
      <c r="V8" t="s">
        <v>329</v>
      </c>
      <c r="W8" t="s">
        <v>45</v>
      </c>
      <c r="X8">
        <v>0</v>
      </c>
      <c r="Y8" t="s">
        <v>177</v>
      </c>
      <c r="AC8">
        <v>0.14000000000000001</v>
      </c>
      <c r="AE8" t="s">
        <v>304</v>
      </c>
      <c r="AO8">
        <v>3</v>
      </c>
      <c r="AP8">
        <v>2004</v>
      </c>
      <c r="AT8">
        <v>3201</v>
      </c>
      <c r="AV8" t="s">
        <v>192</v>
      </c>
      <c r="BD8">
        <v>3201</v>
      </c>
      <c r="BH8">
        <v>0.34699999999999998</v>
      </c>
      <c r="BJ8" t="s">
        <v>180</v>
      </c>
      <c r="BP8">
        <v>0.34699999999999998</v>
      </c>
      <c r="BV8">
        <v>0.24</v>
      </c>
      <c r="CD8">
        <v>3595</v>
      </c>
      <c r="CI8">
        <v>1</v>
      </c>
      <c r="CJ8" t="s">
        <v>297</v>
      </c>
    </row>
    <row r="9" spans="1:88">
      <c r="A9" t="s">
        <v>169</v>
      </c>
      <c r="B9" t="s">
        <v>305</v>
      </c>
      <c r="C9" t="s">
        <v>45</v>
      </c>
      <c r="D9" t="s">
        <v>2</v>
      </c>
      <c r="E9" t="s">
        <v>2</v>
      </c>
      <c r="F9" t="s">
        <v>306</v>
      </c>
      <c r="G9">
        <v>1962</v>
      </c>
      <c r="H9">
        <v>2012</v>
      </c>
      <c r="I9" t="s">
        <v>138</v>
      </c>
      <c r="J9" t="s">
        <v>300</v>
      </c>
      <c r="Q9" t="s">
        <v>73</v>
      </c>
      <c r="R9" t="s">
        <v>74</v>
      </c>
      <c r="S9" t="s">
        <v>75</v>
      </c>
      <c r="T9" t="s">
        <v>93</v>
      </c>
      <c r="U9" t="s">
        <v>94</v>
      </c>
      <c r="V9" t="s">
        <v>329</v>
      </c>
      <c r="W9" t="s">
        <v>45</v>
      </c>
      <c r="X9">
        <v>0</v>
      </c>
      <c r="Y9" t="s">
        <v>177</v>
      </c>
      <c r="AC9">
        <v>0.14000000000000001</v>
      </c>
      <c r="AE9" t="s">
        <v>304</v>
      </c>
      <c r="AO9">
        <v>2</v>
      </c>
      <c r="AP9">
        <v>2004</v>
      </c>
      <c r="AT9">
        <v>1696</v>
      </c>
      <c r="AV9" t="s">
        <v>192</v>
      </c>
      <c r="BD9">
        <v>1696</v>
      </c>
      <c r="BH9">
        <v>0.55261000000000005</v>
      </c>
      <c r="BJ9" t="s">
        <v>180</v>
      </c>
      <c r="BP9">
        <v>0.55261000000000005</v>
      </c>
      <c r="BV9">
        <v>0.28599999999999998</v>
      </c>
      <c r="CD9">
        <v>1832</v>
      </c>
      <c r="CI9">
        <v>1</v>
      </c>
      <c r="CJ9" t="s">
        <v>297</v>
      </c>
    </row>
    <row r="10" spans="1:88">
      <c r="A10" t="s">
        <v>169</v>
      </c>
      <c r="B10" t="s">
        <v>302</v>
      </c>
      <c r="C10" t="s">
        <v>45</v>
      </c>
      <c r="D10" t="s">
        <v>2</v>
      </c>
      <c r="E10" t="s">
        <v>2</v>
      </c>
      <c r="F10" t="s">
        <v>303</v>
      </c>
      <c r="G10">
        <v>1962</v>
      </c>
      <c r="H10">
        <v>2004</v>
      </c>
      <c r="I10" t="s">
        <v>137</v>
      </c>
      <c r="J10" t="s">
        <v>300</v>
      </c>
      <c r="Q10" t="s">
        <v>73</v>
      </c>
      <c r="R10" t="s">
        <v>74</v>
      </c>
      <c r="S10" t="s">
        <v>75</v>
      </c>
      <c r="T10" t="s">
        <v>93</v>
      </c>
      <c r="U10" t="s">
        <v>94</v>
      </c>
      <c r="V10" t="s">
        <v>329</v>
      </c>
      <c r="W10" t="s">
        <v>45</v>
      </c>
      <c r="X10">
        <v>0</v>
      </c>
      <c r="Y10" t="s">
        <v>177</v>
      </c>
      <c r="AC10">
        <v>0.14000000000000001</v>
      </c>
      <c r="AE10" t="s">
        <v>304</v>
      </c>
      <c r="AO10">
        <v>3</v>
      </c>
      <c r="AP10">
        <v>2004</v>
      </c>
      <c r="AT10">
        <v>3201</v>
      </c>
      <c r="AV10" t="s">
        <v>192</v>
      </c>
      <c r="BD10">
        <v>3201</v>
      </c>
      <c r="BH10">
        <v>0.34699999999999998</v>
      </c>
      <c r="BJ10" t="s">
        <v>180</v>
      </c>
      <c r="BP10">
        <v>0.34699999999999998</v>
      </c>
      <c r="BV10">
        <v>0.24</v>
      </c>
      <c r="CD10">
        <v>3595</v>
      </c>
      <c r="CI10">
        <v>2</v>
      </c>
      <c r="CJ10" t="s">
        <v>297</v>
      </c>
    </row>
    <row r="11" spans="1:88">
      <c r="A11" t="s">
        <v>169</v>
      </c>
      <c r="B11" t="s">
        <v>307</v>
      </c>
      <c r="C11" t="s">
        <v>45</v>
      </c>
      <c r="D11" t="s">
        <v>2</v>
      </c>
      <c r="E11" t="s">
        <v>2</v>
      </c>
      <c r="F11" t="s">
        <v>308</v>
      </c>
      <c r="G11">
        <v>1962</v>
      </c>
      <c r="H11">
        <v>2019</v>
      </c>
      <c r="I11" t="s">
        <v>139</v>
      </c>
      <c r="J11" t="s">
        <v>300</v>
      </c>
      <c r="Q11" t="s">
        <v>73</v>
      </c>
      <c r="R11" t="s">
        <v>74</v>
      </c>
      <c r="S11" t="s">
        <v>75</v>
      </c>
      <c r="T11" t="s">
        <v>93</v>
      </c>
      <c r="U11" t="s">
        <v>94</v>
      </c>
      <c r="V11" t="s">
        <v>329</v>
      </c>
      <c r="W11" t="s">
        <v>45</v>
      </c>
      <c r="X11">
        <v>999</v>
      </c>
      <c r="Y11" t="s">
        <v>177</v>
      </c>
      <c r="AC11">
        <v>0.15</v>
      </c>
      <c r="AE11" t="s">
        <v>309</v>
      </c>
      <c r="AO11">
        <v>1</v>
      </c>
      <c r="AP11">
        <v>2004</v>
      </c>
      <c r="AT11">
        <v>1365</v>
      </c>
      <c r="AV11" t="s">
        <v>192</v>
      </c>
      <c r="BD11">
        <v>1365</v>
      </c>
      <c r="BH11">
        <v>0.441</v>
      </c>
      <c r="BJ11" t="s">
        <v>180</v>
      </c>
      <c r="BP11">
        <v>0.441</v>
      </c>
      <c r="BV11">
        <v>0.36799999999999999</v>
      </c>
      <c r="CD11">
        <v>1564</v>
      </c>
      <c r="CI11">
        <v>2</v>
      </c>
      <c r="CJ11" t="s">
        <v>297</v>
      </c>
    </row>
    <row r="12" spans="1:88">
      <c r="A12" t="s">
        <v>169</v>
      </c>
      <c r="B12" t="s">
        <v>305</v>
      </c>
      <c r="C12" t="s">
        <v>45</v>
      </c>
      <c r="D12" t="s">
        <v>2</v>
      </c>
      <c r="E12" t="s">
        <v>2</v>
      </c>
      <c r="F12" t="s">
        <v>306</v>
      </c>
      <c r="G12">
        <v>1962</v>
      </c>
      <c r="H12">
        <v>2012</v>
      </c>
      <c r="I12" t="s">
        <v>138</v>
      </c>
      <c r="J12" t="s">
        <v>300</v>
      </c>
      <c r="Q12" t="s">
        <v>73</v>
      </c>
      <c r="R12" t="s">
        <v>74</v>
      </c>
      <c r="S12" t="s">
        <v>75</v>
      </c>
      <c r="T12" t="s">
        <v>93</v>
      </c>
      <c r="U12" t="s">
        <v>94</v>
      </c>
      <c r="V12" t="s">
        <v>329</v>
      </c>
      <c r="W12" t="s">
        <v>45</v>
      </c>
      <c r="X12">
        <v>0</v>
      </c>
      <c r="Y12" t="s">
        <v>177</v>
      </c>
      <c r="AC12">
        <v>0.14000000000000001</v>
      </c>
      <c r="AE12" t="s">
        <v>304</v>
      </c>
      <c r="AO12">
        <v>2</v>
      </c>
      <c r="AP12">
        <v>2012</v>
      </c>
      <c r="AT12">
        <v>1776</v>
      </c>
      <c r="AV12" t="s">
        <v>192</v>
      </c>
      <c r="BD12">
        <v>1776</v>
      </c>
      <c r="BH12">
        <v>0.23154</v>
      </c>
      <c r="BJ12" t="s">
        <v>180</v>
      </c>
      <c r="BP12">
        <v>0.23154</v>
      </c>
      <c r="BV12">
        <v>0.28599999999999998</v>
      </c>
      <c r="CD12">
        <v>1832</v>
      </c>
      <c r="CI12">
        <v>3</v>
      </c>
      <c r="CJ12" t="s">
        <v>297</v>
      </c>
    </row>
    <row r="13" spans="1:88">
      <c r="A13" t="s">
        <v>169</v>
      </c>
      <c r="B13" t="s">
        <v>307</v>
      </c>
      <c r="C13" t="s">
        <v>45</v>
      </c>
      <c r="D13" t="s">
        <v>2</v>
      </c>
      <c r="E13" t="s">
        <v>2</v>
      </c>
      <c r="F13" t="s">
        <v>308</v>
      </c>
      <c r="G13">
        <v>1962</v>
      </c>
      <c r="H13">
        <v>2019</v>
      </c>
      <c r="I13" t="s">
        <v>139</v>
      </c>
      <c r="J13" t="s">
        <v>300</v>
      </c>
      <c r="Q13" t="s">
        <v>73</v>
      </c>
      <c r="R13" t="s">
        <v>74</v>
      </c>
      <c r="S13" t="s">
        <v>75</v>
      </c>
      <c r="T13" t="s">
        <v>93</v>
      </c>
      <c r="U13" t="s">
        <v>94</v>
      </c>
      <c r="V13" t="s">
        <v>329</v>
      </c>
      <c r="W13" t="s">
        <v>45</v>
      </c>
      <c r="X13">
        <v>999</v>
      </c>
      <c r="Y13" t="s">
        <v>177</v>
      </c>
      <c r="AC13">
        <v>0.15</v>
      </c>
      <c r="AE13" t="s">
        <v>309</v>
      </c>
      <c r="AO13">
        <v>1</v>
      </c>
      <c r="AP13">
        <v>2012</v>
      </c>
      <c r="AT13">
        <v>670</v>
      </c>
      <c r="AV13" t="s">
        <v>192</v>
      </c>
      <c r="BD13">
        <v>670</v>
      </c>
      <c r="BH13">
        <v>0.45300000000000001</v>
      </c>
      <c r="BJ13" t="s">
        <v>180</v>
      </c>
      <c r="BP13">
        <v>0.45300000000000001</v>
      </c>
      <c r="BV13">
        <v>0.36799999999999999</v>
      </c>
      <c r="CD13">
        <v>1564</v>
      </c>
      <c r="CI13">
        <v>3</v>
      </c>
      <c r="CJ13" t="s">
        <v>297</v>
      </c>
    </row>
    <row r="14" spans="1:88">
      <c r="A14" t="s">
        <v>169</v>
      </c>
      <c r="B14" t="s">
        <v>330</v>
      </c>
      <c r="C14" t="s">
        <v>331</v>
      </c>
      <c r="D14" t="s">
        <v>2</v>
      </c>
      <c r="E14" t="s">
        <v>2</v>
      </c>
      <c r="F14" t="s">
        <v>196</v>
      </c>
      <c r="G14">
        <v>1981</v>
      </c>
      <c r="H14">
        <v>2006</v>
      </c>
      <c r="I14" t="s">
        <v>163</v>
      </c>
      <c r="J14" t="s">
        <v>332</v>
      </c>
      <c r="Q14" t="s">
        <v>73</v>
      </c>
      <c r="R14" t="s">
        <v>83</v>
      </c>
      <c r="S14" t="s">
        <v>84</v>
      </c>
      <c r="T14" t="s">
        <v>85</v>
      </c>
      <c r="U14" t="s">
        <v>86</v>
      </c>
      <c r="V14" t="s">
        <v>333</v>
      </c>
      <c r="W14" t="s">
        <v>33</v>
      </c>
      <c r="X14">
        <v>0</v>
      </c>
      <c r="Y14" t="s">
        <v>177</v>
      </c>
      <c r="AC14">
        <v>0.16</v>
      </c>
      <c r="AE14" t="s">
        <v>334</v>
      </c>
      <c r="AO14">
        <v>3</v>
      </c>
      <c r="AP14">
        <v>2006</v>
      </c>
      <c r="AT14">
        <v>2443</v>
      </c>
      <c r="AV14" t="s">
        <v>335</v>
      </c>
      <c r="BD14">
        <v>2443</v>
      </c>
      <c r="BH14">
        <v>0.25800000000000001</v>
      </c>
      <c r="BJ14" t="s">
        <v>180</v>
      </c>
      <c r="BP14">
        <v>0.25800000000000001</v>
      </c>
      <c r="BV14">
        <v>0.25600000000000001</v>
      </c>
      <c r="CI14">
        <v>1</v>
      </c>
      <c r="CJ14" t="s">
        <v>297</v>
      </c>
    </row>
    <row r="15" spans="1:88">
      <c r="A15" t="s">
        <v>169</v>
      </c>
      <c r="B15" t="s">
        <v>336</v>
      </c>
      <c r="C15" t="s">
        <v>331</v>
      </c>
      <c r="D15" t="s">
        <v>2</v>
      </c>
      <c r="E15" t="s">
        <v>2</v>
      </c>
      <c r="F15" t="s">
        <v>337</v>
      </c>
      <c r="G15">
        <v>1901</v>
      </c>
      <c r="H15">
        <v>2012</v>
      </c>
      <c r="I15" t="s">
        <v>162</v>
      </c>
      <c r="J15" t="s">
        <v>338</v>
      </c>
      <c r="Q15" t="s">
        <v>73</v>
      </c>
      <c r="R15" t="s">
        <v>83</v>
      </c>
      <c r="S15" t="s">
        <v>84</v>
      </c>
      <c r="T15" t="s">
        <v>85</v>
      </c>
      <c r="U15" t="s">
        <v>86</v>
      </c>
      <c r="V15" t="s">
        <v>333</v>
      </c>
      <c r="W15" t="s">
        <v>33</v>
      </c>
      <c r="X15">
        <v>0</v>
      </c>
      <c r="Y15" t="s">
        <v>177</v>
      </c>
      <c r="AC15">
        <v>0.16</v>
      </c>
      <c r="AE15" t="s">
        <v>334</v>
      </c>
      <c r="AO15">
        <v>2</v>
      </c>
      <c r="AP15">
        <v>2006</v>
      </c>
      <c r="AT15">
        <v>4181</v>
      </c>
      <c r="AV15" t="s">
        <v>335</v>
      </c>
      <c r="BD15">
        <v>4181</v>
      </c>
      <c r="BL15">
        <v>6.2399999999999997E-2</v>
      </c>
      <c r="BR15">
        <v>0.08</v>
      </c>
      <c r="CD15">
        <v>3123</v>
      </c>
      <c r="CE15" t="s">
        <v>335</v>
      </c>
      <c r="CI15">
        <v>1</v>
      </c>
      <c r="CJ15" t="s">
        <v>297</v>
      </c>
    </row>
    <row r="16" spans="1:88">
      <c r="A16" t="s">
        <v>169</v>
      </c>
      <c r="B16" t="s">
        <v>330</v>
      </c>
      <c r="C16" t="s">
        <v>331</v>
      </c>
      <c r="D16" t="s">
        <v>2</v>
      </c>
      <c r="E16" t="s">
        <v>2</v>
      </c>
      <c r="F16" t="s">
        <v>196</v>
      </c>
      <c r="G16">
        <v>1981</v>
      </c>
      <c r="H16">
        <v>2006</v>
      </c>
      <c r="I16" t="s">
        <v>163</v>
      </c>
      <c r="J16" t="s">
        <v>332</v>
      </c>
      <c r="Q16" t="s">
        <v>73</v>
      </c>
      <c r="R16" t="s">
        <v>83</v>
      </c>
      <c r="S16" t="s">
        <v>84</v>
      </c>
      <c r="T16" t="s">
        <v>85</v>
      </c>
      <c r="U16" t="s">
        <v>86</v>
      </c>
      <c r="V16" t="s">
        <v>333</v>
      </c>
      <c r="W16" t="s">
        <v>33</v>
      </c>
      <c r="X16">
        <v>0</v>
      </c>
      <c r="Y16" t="s">
        <v>177</v>
      </c>
      <c r="AC16">
        <v>0.16</v>
      </c>
      <c r="AE16" t="s">
        <v>334</v>
      </c>
      <c r="AO16">
        <v>3</v>
      </c>
      <c r="AP16">
        <v>2006</v>
      </c>
      <c r="AT16">
        <v>2443</v>
      </c>
      <c r="AV16" t="s">
        <v>335</v>
      </c>
      <c r="BD16">
        <v>2443</v>
      </c>
      <c r="BH16">
        <v>0.25800000000000001</v>
      </c>
      <c r="BJ16" t="s">
        <v>180</v>
      </c>
      <c r="BP16">
        <v>0.25800000000000001</v>
      </c>
      <c r="BV16">
        <v>0.25600000000000001</v>
      </c>
      <c r="CI16">
        <v>2</v>
      </c>
      <c r="CJ16" t="s">
        <v>297</v>
      </c>
    </row>
    <row r="17" spans="1:88">
      <c r="A17" t="s">
        <v>169</v>
      </c>
      <c r="B17" t="s">
        <v>339</v>
      </c>
      <c r="C17" t="s">
        <v>331</v>
      </c>
      <c r="D17" t="s">
        <v>2</v>
      </c>
      <c r="E17" t="s">
        <v>2</v>
      </c>
      <c r="F17" t="s">
        <v>340</v>
      </c>
      <c r="G17">
        <v>1901</v>
      </c>
      <c r="H17">
        <v>2017</v>
      </c>
      <c r="I17" t="s">
        <v>161</v>
      </c>
      <c r="J17" t="s">
        <v>338</v>
      </c>
      <c r="Q17" t="s">
        <v>73</v>
      </c>
      <c r="R17" t="s">
        <v>83</v>
      </c>
      <c r="S17" t="s">
        <v>84</v>
      </c>
      <c r="T17" t="s">
        <v>85</v>
      </c>
      <c r="U17" t="s">
        <v>86</v>
      </c>
      <c r="V17" t="s">
        <v>333</v>
      </c>
      <c r="W17" t="s">
        <v>33</v>
      </c>
      <c r="X17">
        <v>999</v>
      </c>
      <c r="Y17" t="s">
        <v>177</v>
      </c>
      <c r="AC17">
        <v>0.16</v>
      </c>
      <c r="AE17" t="s">
        <v>334</v>
      </c>
      <c r="AO17">
        <v>1</v>
      </c>
      <c r="AP17">
        <v>2006</v>
      </c>
      <c r="AT17">
        <v>4218</v>
      </c>
      <c r="AV17" t="s">
        <v>335</v>
      </c>
      <c r="BD17">
        <v>4218</v>
      </c>
      <c r="BL17">
        <v>8.5999999999999993E-2</v>
      </c>
      <c r="BR17">
        <v>0.14499999999999999</v>
      </c>
      <c r="CD17">
        <v>2439</v>
      </c>
      <c r="CE17" t="s">
        <v>335</v>
      </c>
      <c r="CI17">
        <v>2</v>
      </c>
      <c r="CJ17" t="s">
        <v>297</v>
      </c>
    </row>
    <row r="18" spans="1:88">
      <c r="A18" t="s">
        <v>169</v>
      </c>
      <c r="B18" t="s">
        <v>336</v>
      </c>
      <c r="C18" t="s">
        <v>331</v>
      </c>
      <c r="D18" t="s">
        <v>2</v>
      </c>
      <c r="E18" t="s">
        <v>2</v>
      </c>
      <c r="F18" t="s">
        <v>337</v>
      </c>
      <c r="G18">
        <v>1901</v>
      </c>
      <c r="H18">
        <v>2012</v>
      </c>
      <c r="I18" t="s">
        <v>162</v>
      </c>
      <c r="J18" t="s">
        <v>338</v>
      </c>
      <c r="Q18" t="s">
        <v>73</v>
      </c>
      <c r="R18" t="s">
        <v>83</v>
      </c>
      <c r="S18" t="s">
        <v>84</v>
      </c>
      <c r="T18" t="s">
        <v>85</v>
      </c>
      <c r="U18" t="s">
        <v>86</v>
      </c>
      <c r="V18" t="s">
        <v>333</v>
      </c>
      <c r="W18" t="s">
        <v>33</v>
      </c>
      <c r="X18">
        <v>0</v>
      </c>
      <c r="Y18" t="s">
        <v>177</v>
      </c>
      <c r="AC18">
        <v>0.16</v>
      </c>
      <c r="AE18" t="s">
        <v>334</v>
      </c>
      <c r="AO18">
        <v>2</v>
      </c>
      <c r="AP18">
        <v>2012</v>
      </c>
      <c r="AT18">
        <v>4340</v>
      </c>
      <c r="AV18" t="s">
        <v>335</v>
      </c>
      <c r="BD18">
        <v>4340</v>
      </c>
      <c r="BH18">
        <v>2.64E-2</v>
      </c>
      <c r="BJ18" t="s">
        <v>341</v>
      </c>
      <c r="BL18">
        <v>2.64E-2</v>
      </c>
      <c r="BR18">
        <v>0.08</v>
      </c>
      <c r="CD18">
        <v>3123</v>
      </c>
      <c r="CE18" t="s">
        <v>335</v>
      </c>
      <c r="CI18">
        <v>3</v>
      </c>
      <c r="CJ18" t="s">
        <v>301</v>
      </c>
    </row>
    <row r="19" spans="1:88">
      <c r="A19" t="s">
        <v>169</v>
      </c>
      <c r="B19" t="s">
        <v>339</v>
      </c>
      <c r="C19" t="s">
        <v>331</v>
      </c>
      <c r="D19" t="s">
        <v>2</v>
      </c>
      <c r="E19" t="s">
        <v>2</v>
      </c>
      <c r="F19" t="s">
        <v>340</v>
      </c>
      <c r="G19">
        <v>1901</v>
      </c>
      <c r="H19">
        <v>2017</v>
      </c>
      <c r="I19" t="s">
        <v>161</v>
      </c>
      <c r="J19" t="s">
        <v>338</v>
      </c>
      <c r="Q19" t="s">
        <v>73</v>
      </c>
      <c r="R19" t="s">
        <v>83</v>
      </c>
      <c r="S19" t="s">
        <v>84</v>
      </c>
      <c r="T19" t="s">
        <v>85</v>
      </c>
      <c r="U19" t="s">
        <v>86</v>
      </c>
      <c r="V19" t="s">
        <v>333</v>
      </c>
      <c r="W19" t="s">
        <v>33</v>
      </c>
      <c r="X19">
        <v>999</v>
      </c>
      <c r="Y19" t="s">
        <v>177</v>
      </c>
      <c r="AC19">
        <v>0.16</v>
      </c>
      <c r="AE19" t="s">
        <v>334</v>
      </c>
      <c r="AO19">
        <v>1</v>
      </c>
      <c r="AP19">
        <v>2012</v>
      </c>
      <c r="AT19">
        <v>4171</v>
      </c>
      <c r="AV19" t="s">
        <v>335</v>
      </c>
      <c r="BD19">
        <v>4171</v>
      </c>
      <c r="BH19">
        <v>4.3999999999999997E-2</v>
      </c>
      <c r="BJ19" t="s">
        <v>341</v>
      </c>
      <c r="BL19">
        <v>4.3999999999999997E-2</v>
      </c>
      <c r="BR19">
        <v>0.14499999999999999</v>
      </c>
      <c r="CD19">
        <v>2439</v>
      </c>
      <c r="CE19" t="s">
        <v>335</v>
      </c>
      <c r="CI19">
        <v>3</v>
      </c>
      <c r="CJ19" t="s">
        <v>301</v>
      </c>
    </row>
    <row r="20" spans="1:88">
      <c r="A20" t="s">
        <v>169</v>
      </c>
      <c r="B20" t="s">
        <v>342</v>
      </c>
      <c r="C20" t="s">
        <v>43</v>
      </c>
      <c r="D20" t="s">
        <v>2</v>
      </c>
      <c r="E20" t="s">
        <v>2</v>
      </c>
      <c r="F20" t="s">
        <v>343</v>
      </c>
      <c r="G20">
        <v>1962</v>
      </c>
      <c r="H20">
        <v>2010</v>
      </c>
      <c r="I20" t="s">
        <v>167</v>
      </c>
      <c r="J20" t="s">
        <v>300</v>
      </c>
      <c r="Q20" t="s">
        <v>73</v>
      </c>
      <c r="R20" t="s">
        <v>74</v>
      </c>
      <c r="S20" t="s">
        <v>90</v>
      </c>
      <c r="T20" t="s">
        <v>91</v>
      </c>
      <c r="U20" t="s">
        <v>92</v>
      </c>
      <c r="V20" t="s">
        <v>344</v>
      </c>
      <c r="W20" t="s">
        <v>43</v>
      </c>
      <c r="X20">
        <v>0</v>
      </c>
      <c r="Y20" t="s">
        <v>177</v>
      </c>
      <c r="AC20">
        <v>0.1</v>
      </c>
      <c r="AO20">
        <v>3</v>
      </c>
      <c r="AP20">
        <v>2010</v>
      </c>
      <c r="AT20">
        <v>54.825000000000003</v>
      </c>
      <c r="AV20" t="s">
        <v>345</v>
      </c>
      <c r="BD20">
        <v>54.825000000000003</v>
      </c>
      <c r="BH20">
        <v>7.0000000000000007E-2</v>
      </c>
      <c r="BJ20" t="s">
        <v>180</v>
      </c>
      <c r="BP20">
        <v>7.0000000000000007E-2</v>
      </c>
      <c r="BV20">
        <v>0.185</v>
      </c>
      <c r="CD20">
        <v>25.303999999999998</v>
      </c>
      <c r="CE20" t="s">
        <v>346</v>
      </c>
      <c r="CI20">
        <v>1</v>
      </c>
      <c r="CJ20" t="s">
        <v>301</v>
      </c>
    </row>
    <row r="21" spans="1:88">
      <c r="A21" t="s">
        <v>169</v>
      </c>
      <c r="B21" t="s">
        <v>347</v>
      </c>
      <c r="C21" t="s">
        <v>43</v>
      </c>
      <c r="D21" t="s">
        <v>2</v>
      </c>
      <c r="E21" t="s">
        <v>2</v>
      </c>
      <c r="F21" t="s">
        <v>348</v>
      </c>
      <c r="G21">
        <v>1962</v>
      </c>
      <c r="H21">
        <v>2014</v>
      </c>
      <c r="I21" t="s">
        <v>166</v>
      </c>
      <c r="J21" t="s">
        <v>300</v>
      </c>
      <c r="Q21" t="s">
        <v>73</v>
      </c>
      <c r="R21" t="s">
        <v>74</v>
      </c>
      <c r="S21" t="s">
        <v>90</v>
      </c>
      <c r="T21" t="s">
        <v>91</v>
      </c>
      <c r="U21" t="s">
        <v>92</v>
      </c>
      <c r="V21" t="s">
        <v>344</v>
      </c>
      <c r="W21" t="s">
        <v>43</v>
      </c>
      <c r="X21">
        <v>0</v>
      </c>
      <c r="Y21" t="s">
        <v>177</v>
      </c>
      <c r="AC21">
        <v>0.1</v>
      </c>
      <c r="AO21">
        <v>2</v>
      </c>
      <c r="AP21">
        <v>2010</v>
      </c>
      <c r="AT21">
        <v>18.356000000000002</v>
      </c>
      <c r="AV21" t="s">
        <v>345</v>
      </c>
      <c r="BD21">
        <v>18.356000000000002</v>
      </c>
      <c r="BH21">
        <v>0.17630000000000001</v>
      </c>
      <c r="BJ21" t="s">
        <v>180</v>
      </c>
      <c r="BP21">
        <v>0.17630000000000001</v>
      </c>
      <c r="BV21">
        <v>0.23599999999999999</v>
      </c>
      <c r="CD21">
        <v>21.928999999999998</v>
      </c>
      <c r="CE21" t="s">
        <v>346</v>
      </c>
      <c r="CI21">
        <v>1</v>
      </c>
      <c r="CJ21" t="s">
        <v>301</v>
      </c>
    </row>
    <row r="22" spans="1:88">
      <c r="A22" t="s">
        <v>169</v>
      </c>
      <c r="B22" t="s">
        <v>342</v>
      </c>
      <c r="C22" t="s">
        <v>43</v>
      </c>
      <c r="D22" t="s">
        <v>2</v>
      </c>
      <c r="E22" t="s">
        <v>2</v>
      </c>
      <c r="F22" t="s">
        <v>343</v>
      </c>
      <c r="G22">
        <v>1962</v>
      </c>
      <c r="H22">
        <v>2010</v>
      </c>
      <c r="I22" t="s">
        <v>167</v>
      </c>
      <c r="J22" t="s">
        <v>300</v>
      </c>
      <c r="Q22" t="s">
        <v>73</v>
      </c>
      <c r="R22" t="s">
        <v>74</v>
      </c>
      <c r="S22" t="s">
        <v>90</v>
      </c>
      <c r="T22" t="s">
        <v>91</v>
      </c>
      <c r="U22" t="s">
        <v>92</v>
      </c>
      <c r="V22" t="s">
        <v>344</v>
      </c>
      <c r="W22" t="s">
        <v>43</v>
      </c>
      <c r="X22">
        <v>0</v>
      </c>
      <c r="Y22" t="s">
        <v>177</v>
      </c>
      <c r="AC22">
        <v>0.1</v>
      </c>
      <c r="AO22">
        <v>3</v>
      </c>
      <c r="AP22">
        <v>2010</v>
      </c>
      <c r="AT22">
        <v>54.825000000000003</v>
      </c>
      <c r="AV22" t="s">
        <v>345</v>
      </c>
      <c r="BD22">
        <v>54.825000000000003</v>
      </c>
      <c r="BH22">
        <v>7.0000000000000007E-2</v>
      </c>
      <c r="BJ22" t="s">
        <v>180</v>
      </c>
      <c r="BP22">
        <v>7.0000000000000007E-2</v>
      </c>
      <c r="BV22">
        <v>0.185</v>
      </c>
      <c r="CD22">
        <v>25.303999999999998</v>
      </c>
      <c r="CE22" t="s">
        <v>346</v>
      </c>
      <c r="CI22">
        <v>2</v>
      </c>
      <c r="CJ22" t="s">
        <v>297</v>
      </c>
    </row>
    <row r="23" spans="1:88">
      <c r="A23" t="s">
        <v>169</v>
      </c>
      <c r="B23" t="s">
        <v>349</v>
      </c>
      <c r="C23" t="s">
        <v>43</v>
      </c>
      <c r="D23" t="s">
        <v>2</v>
      </c>
      <c r="E23" t="s">
        <v>2</v>
      </c>
      <c r="F23" t="s">
        <v>350</v>
      </c>
      <c r="G23">
        <v>1972</v>
      </c>
      <c r="H23">
        <v>2018</v>
      </c>
      <c r="I23" t="s">
        <v>165</v>
      </c>
      <c r="J23" t="s">
        <v>300</v>
      </c>
      <c r="Q23" t="s">
        <v>73</v>
      </c>
      <c r="R23" t="s">
        <v>74</v>
      </c>
      <c r="S23" t="s">
        <v>90</v>
      </c>
      <c r="T23" t="s">
        <v>91</v>
      </c>
      <c r="U23" t="s">
        <v>92</v>
      </c>
      <c r="V23" t="s">
        <v>344</v>
      </c>
      <c r="W23" t="s">
        <v>43</v>
      </c>
      <c r="X23">
        <v>999</v>
      </c>
      <c r="Y23" t="s">
        <v>177</v>
      </c>
      <c r="AC23">
        <v>0.1</v>
      </c>
      <c r="AE23" t="s">
        <v>351</v>
      </c>
      <c r="AO23">
        <v>1</v>
      </c>
      <c r="AP23">
        <v>2010</v>
      </c>
      <c r="AT23">
        <v>24.265000000000001</v>
      </c>
      <c r="AV23" t="s">
        <v>345</v>
      </c>
      <c r="BD23">
        <v>24.265000000000001</v>
      </c>
      <c r="BH23">
        <v>0.14899999999999999</v>
      </c>
      <c r="BJ23" t="s">
        <v>180</v>
      </c>
      <c r="BP23">
        <v>0.14899999999999999</v>
      </c>
      <c r="BV23">
        <v>0.28199999999999997</v>
      </c>
      <c r="CD23">
        <v>19.913</v>
      </c>
      <c r="CE23" t="s">
        <v>346</v>
      </c>
      <c r="CI23">
        <v>2</v>
      </c>
      <c r="CJ23" t="s">
        <v>297</v>
      </c>
    </row>
    <row r="24" spans="1:88">
      <c r="A24" t="s">
        <v>169</v>
      </c>
      <c r="B24" t="s">
        <v>347</v>
      </c>
      <c r="C24" t="s">
        <v>43</v>
      </c>
      <c r="D24" t="s">
        <v>2</v>
      </c>
      <c r="E24" t="s">
        <v>2</v>
      </c>
      <c r="F24" t="s">
        <v>348</v>
      </c>
      <c r="G24">
        <v>1962</v>
      </c>
      <c r="H24">
        <v>2014</v>
      </c>
      <c r="I24" t="s">
        <v>166</v>
      </c>
      <c r="J24" t="s">
        <v>300</v>
      </c>
      <c r="Q24" t="s">
        <v>73</v>
      </c>
      <c r="R24" t="s">
        <v>74</v>
      </c>
      <c r="S24" t="s">
        <v>90</v>
      </c>
      <c r="T24" t="s">
        <v>91</v>
      </c>
      <c r="U24" t="s">
        <v>92</v>
      </c>
      <c r="V24" t="s">
        <v>344</v>
      </c>
      <c r="W24" t="s">
        <v>43</v>
      </c>
      <c r="X24">
        <v>0</v>
      </c>
      <c r="Y24" t="s">
        <v>177</v>
      </c>
      <c r="AC24">
        <v>0.1</v>
      </c>
      <c r="AO24">
        <v>2</v>
      </c>
      <c r="AP24">
        <v>2014</v>
      </c>
      <c r="AT24">
        <v>18.646000000000001</v>
      </c>
      <c r="AV24" t="s">
        <v>345</v>
      </c>
      <c r="BD24">
        <v>18.646000000000001</v>
      </c>
      <c r="BH24">
        <v>0.28899999999999998</v>
      </c>
      <c r="BJ24" t="s">
        <v>180</v>
      </c>
      <c r="BP24">
        <v>0.28899999999999998</v>
      </c>
      <c r="BV24">
        <v>0.23599999999999999</v>
      </c>
      <c r="CD24">
        <v>21.928999999999998</v>
      </c>
      <c r="CE24" t="s">
        <v>346</v>
      </c>
      <c r="CI24">
        <v>3</v>
      </c>
      <c r="CJ24" t="s">
        <v>301</v>
      </c>
    </row>
    <row r="25" spans="1:88">
      <c r="A25" t="s">
        <v>169</v>
      </c>
      <c r="B25" t="s">
        <v>349</v>
      </c>
      <c r="C25" t="s">
        <v>43</v>
      </c>
      <c r="D25" t="s">
        <v>2</v>
      </c>
      <c r="E25" t="s">
        <v>2</v>
      </c>
      <c r="F25" t="s">
        <v>350</v>
      </c>
      <c r="G25">
        <v>1972</v>
      </c>
      <c r="H25">
        <v>2018</v>
      </c>
      <c r="I25" t="s">
        <v>165</v>
      </c>
      <c r="J25" t="s">
        <v>300</v>
      </c>
      <c r="Q25" t="s">
        <v>73</v>
      </c>
      <c r="R25" t="s">
        <v>74</v>
      </c>
      <c r="S25" t="s">
        <v>90</v>
      </c>
      <c r="T25" t="s">
        <v>91</v>
      </c>
      <c r="U25" t="s">
        <v>92</v>
      </c>
      <c r="V25" t="s">
        <v>344</v>
      </c>
      <c r="W25" t="s">
        <v>43</v>
      </c>
      <c r="X25">
        <v>999</v>
      </c>
      <c r="Y25" t="s">
        <v>177</v>
      </c>
      <c r="AC25">
        <v>0.1</v>
      </c>
      <c r="AE25" t="s">
        <v>351</v>
      </c>
      <c r="AO25">
        <v>1</v>
      </c>
      <c r="AP25">
        <v>2014</v>
      </c>
      <c r="AT25">
        <v>21.523</v>
      </c>
      <c r="AV25" t="s">
        <v>345</v>
      </c>
      <c r="BD25">
        <v>21.523</v>
      </c>
      <c r="BH25">
        <v>0.30099999999999999</v>
      </c>
      <c r="BJ25" t="s">
        <v>180</v>
      </c>
      <c r="BP25">
        <v>0.30099999999999999</v>
      </c>
      <c r="BV25">
        <v>0.28199999999999997</v>
      </c>
      <c r="CD25">
        <v>19.913</v>
      </c>
      <c r="CE25" t="s">
        <v>346</v>
      </c>
      <c r="CI25">
        <v>3</v>
      </c>
      <c r="CJ25" t="s">
        <v>301</v>
      </c>
    </row>
    <row r="26" spans="1:88">
      <c r="A26" t="s">
        <v>169</v>
      </c>
      <c r="B26" t="s">
        <v>357</v>
      </c>
      <c r="C26" t="s">
        <v>358</v>
      </c>
      <c r="D26" t="s">
        <v>2</v>
      </c>
      <c r="E26" t="s">
        <v>2</v>
      </c>
      <c r="F26" t="s">
        <v>10</v>
      </c>
      <c r="G26">
        <v>1978</v>
      </c>
      <c r="H26">
        <v>2010</v>
      </c>
      <c r="I26" t="s">
        <v>9</v>
      </c>
      <c r="J26" t="s">
        <v>300</v>
      </c>
      <c r="Q26" t="s">
        <v>73</v>
      </c>
      <c r="R26" t="s">
        <v>74</v>
      </c>
      <c r="S26" t="s">
        <v>75</v>
      </c>
      <c r="T26" t="s">
        <v>76</v>
      </c>
      <c r="U26" t="s">
        <v>77</v>
      </c>
      <c r="V26" t="s">
        <v>77</v>
      </c>
      <c r="W26" t="s">
        <v>0</v>
      </c>
      <c r="X26">
        <v>0</v>
      </c>
      <c r="Y26" t="s">
        <v>177</v>
      </c>
      <c r="AC26">
        <v>0.38</v>
      </c>
      <c r="AE26" t="s">
        <v>359</v>
      </c>
      <c r="AO26">
        <v>3</v>
      </c>
      <c r="AP26">
        <v>2010</v>
      </c>
      <c r="AT26">
        <v>173.6</v>
      </c>
      <c r="AV26" t="s">
        <v>360</v>
      </c>
      <c r="BD26">
        <v>173.6</v>
      </c>
      <c r="BH26">
        <v>0.747</v>
      </c>
      <c r="BJ26" t="s">
        <v>180</v>
      </c>
      <c r="BP26">
        <v>0.747</v>
      </c>
      <c r="BV26">
        <v>0.69799999999999995</v>
      </c>
      <c r="CD26">
        <v>248</v>
      </c>
      <c r="CE26" t="s">
        <v>360</v>
      </c>
      <c r="CI26">
        <v>1</v>
      </c>
      <c r="CJ26" t="s">
        <v>301</v>
      </c>
    </row>
    <row r="27" spans="1:88">
      <c r="A27" t="s">
        <v>169</v>
      </c>
      <c r="B27" t="s">
        <v>361</v>
      </c>
      <c r="C27" t="s">
        <v>358</v>
      </c>
      <c r="D27" t="s">
        <v>2</v>
      </c>
      <c r="E27" t="s">
        <v>2</v>
      </c>
      <c r="F27" t="s">
        <v>8</v>
      </c>
      <c r="G27">
        <v>1978</v>
      </c>
      <c r="H27">
        <v>2012</v>
      </c>
      <c r="I27" t="s">
        <v>7</v>
      </c>
      <c r="J27" t="s">
        <v>300</v>
      </c>
      <c r="Q27" t="s">
        <v>73</v>
      </c>
      <c r="R27" t="s">
        <v>74</v>
      </c>
      <c r="S27" t="s">
        <v>75</v>
      </c>
      <c r="T27" t="s">
        <v>76</v>
      </c>
      <c r="U27" t="s">
        <v>77</v>
      </c>
      <c r="V27" t="s">
        <v>77</v>
      </c>
      <c r="W27" t="s">
        <v>0</v>
      </c>
      <c r="X27">
        <v>0</v>
      </c>
      <c r="Y27" t="s">
        <v>177</v>
      </c>
      <c r="AC27">
        <v>0.38</v>
      </c>
      <c r="AE27" t="s">
        <v>359</v>
      </c>
      <c r="AO27">
        <v>2</v>
      </c>
      <c r="AP27">
        <v>2010</v>
      </c>
      <c r="AT27">
        <v>196.7</v>
      </c>
      <c r="AV27" t="s">
        <v>360</v>
      </c>
      <c r="BD27">
        <v>196.7</v>
      </c>
      <c r="BH27">
        <v>0.78600000000000003</v>
      </c>
      <c r="BJ27" t="s">
        <v>180</v>
      </c>
      <c r="BP27">
        <v>0.78600000000000003</v>
      </c>
      <c r="BV27">
        <v>0.61</v>
      </c>
      <c r="CD27">
        <v>256</v>
      </c>
      <c r="CE27" t="s">
        <v>360</v>
      </c>
      <c r="CI27">
        <v>1</v>
      </c>
      <c r="CJ27" t="s">
        <v>301</v>
      </c>
    </row>
    <row r="28" spans="1:88">
      <c r="A28" t="s">
        <v>169</v>
      </c>
      <c r="B28" t="s">
        <v>357</v>
      </c>
      <c r="C28" t="s">
        <v>358</v>
      </c>
      <c r="D28" t="s">
        <v>2</v>
      </c>
      <c r="E28" t="s">
        <v>2</v>
      </c>
      <c r="F28" t="s">
        <v>10</v>
      </c>
      <c r="G28">
        <v>1978</v>
      </c>
      <c r="H28">
        <v>2010</v>
      </c>
      <c r="I28" t="s">
        <v>9</v>
      </c>
      <c r="J28" t="s">
        <v>300</v>
      </c>
      <c r="Q28" t="s">
        <v>73</v>
      </c>
      <c r="R28" t="s">
        <v>74</v>
      </c>
      <c r="S28" t="s">
        <v>75</v>
      </c>
      <c r="T28" t="s">
        <v>76</v>
      </c>
      <c r="U28" t="s">
        <v>77</v>
      </c>
      <c r="V28" t="s">
        <v>77</v>
      </c>
      <c r="W28" t="s">
        <v>0</v>
      </c>
      <c r="X28">
        <v>0</v>
      </c>
      <c r="Y28" t="s">
        <v>177</v>
      </c>
      <c r="AC28">
        <v>0.38</v>
      </c>
      <c r="AE28" t="s">
        <v>359</v>
      </c>
      <c r="AO28">
        <v>3</v>
      </c>
      <c r="AP28">
        <v>2010</v>
      </c>
      <c r="AT28">
        <v>173.6</v>
      </c>
      <c r="AV28" t="s">
        <v>360</v>
      </c>
      <c r="BD28">
        <v>173.6</v>
      </c>
      <c r="BH28">
        <v>0.747</v>
      </c>
      <c r="BJ28" t="s">
        <v>180</v>
      </c>
      <c r="BP28">
        <v>0.747</v>
      </c>
      <c r="BV28">
        <v>0.69799999999999995</v>
      </c>
      <c r="CD28">
        <v>248</v>
      </c>
      <c r="CE28" t="s">
        <v>360</v>
      </c>
      <c r="CI28">
        <v>2</v>
      </c>
      <c r="CJ28" t="s">
        <v>297</v>
      </c>
    </row>
    <row r="29" spans="1:88">
      <c r="A29" t="s">
        <v>169</v>
      </c>
      <c r="B29" t="s">
        <v>362</v>
      </c>
      <c r="C29" t="s">
        <v>358</v>
      </c>
      <c r="D29" t="s">
        <v>2</v>
      </c>
      <c r="E29" t="s">
        <v>2</v>
      </c>
      <c r="F29" t="s">
        <v>3</v>
      </c>
      <c r="G29">
        <v>1978</v>
      </c>
      <c r="H29">
        <v>2016</v>
      </c>
      <c r="I29" t="s">
        <v>1</v>
      </c>
      <c r="J29" t="s">
        <v>300</v>
      </c>
      <c r="Q29" t="s">
        <v>73</v>
      </c>
      <c r="R29" t="s">
        <v>74</v>
      </c>
      <c r="S29" t="s">
        <v>75</v>
      </c>
      <c r="T29" t="s">
        <v>76</v>
      </c>
      <c r="U29" t="s">
        <v>77</v>
      </c>
      <c r="V29" t="s">
        <v>77</v>
      </c>
      <c r="W29" t="s">
        <v>0</v>
      </c>
      <c r="X29">
        <v>999</v>
      </c>
      <c r="Y29" t="s">
        <v>177</v>
      </c>
      <c r="AC29">
        <v>0.38</v>
      </c>
      <c r="AE29" t="s">
        <v>359</v>
      </c>
      <c r="AO29">
        <v>1</v>
      </c>
      <c r="AP29">
        <v>2010</v>
      </c>
      <c r="AT29">
        <v>281.3</v>
      </c>
      <c r="AV29" t="s">
        <v>360</v>
      </c>
      <c r="BD29">
        <v>281.3</v>
      </c>
      <c r="BH29">
        <v>0.83</v>
      </c>
      <c r="BJ29" t="s">
        <v>180</v>
      </c>
      <c r="BP29">
        <v>0.83</v>
      </c>
      <c r="BV29">
        <v>0.31</v>
      </c>
      <c r="CD29">
        <v>300</v>
      </c>
      <c r="CE29" t="s">
        <v>360</v>
      </c>
      <c r="CI29">
        <v>2</v>
      </c>
      <c r="CJ29" t="s">
        <v>297</v>
      </c>
    </row>
    <row r="30" spans="1:88">
      <c r="A30" t="s">
        <v>169</v>
      </c>
      <c r="B30" t="s">
        <v>361</v>
      </c>
      <c r="C30" t="s">
        <v>358</v>
      </c>
      <c r="D30" t="s">
        <v>2</v>
      </c>
      <c r="E30" t="s">
        <v>2</v>
      </c>
      <c r="F30" t="s">
        <v>8</v>
      </c>
      <c r="G30">
        <v>1978</v>
      </c>
      <c r="H30">
        <v>2012</v>
      </c>
      <c r="I30" t="s">
        <v>7</v>
      </c>
      <c r="J30" t="s">
        <v>300</v>
      </c>
      <c r="Q30" t="s">
        <v>73</v>
      </c>
      <c r="R30" t="s">
        <v>74</v>
      </c>
      <c r="S30" t="s">
        <v>75</v>
      </c>
      <c r="T30" t="s">
        <v>76</v>
      </c>
      <c r="U30" t="s">
        <v>77</v>
      </c>
      <c r="V30" t="s">
        <v>77</v>
      </c>
      <c r="W30" t="s">
        <v>0</v>
      </c>
      <c r="X30">
        <v>0</v>
      </c>
      <c r="Y30" t="s">
        <v>177</v>
      </c>
      <c r="AC30">
        <v>0.38</v>
      </c>
      <c r="AE30" t="s">
        <v>359</v>
      </c>
      <c r="AO30">
        <v>2</v>
      </c>
      <c r="AP30">
        <v>2012</v>
      </c>
      <c r="AT30">
        <v>264.60000000000002</v>
      </c>
      <c r="AV30" t="s">
        <v>360</v>
      </c>
      <c r="BD30">
        <v>264.60000000000002</v>
      </c>
      <c r="BH30">
        <v>0.41</v>
      </c>
      <c r="BJ30" t="s">
        <v>180</v>
      </c>
      <c r="BP30">
        <v>0.41</v>
      </c>
      <c r="BV30">
        <v>0.61</v>
      </c>
      <c r="CD30">
        <v>256</v>
      </c>
      <c r="CE30" t="s">
        <v>360</v>
      </c>
      <c r="CI30">
        <v>3</v>
      </c>
      <c r="CJ30" t="s">
        <v>301</v>
      </c>
    </row>
    <row r="31" spans="1:88">
      <c r="A31" t="s">
        <v>169</v>
      </c>
      <c r="B31" t="s">
        <v>362</v>
      </c>
      <c r="C31" t="s">
        <v>358</v>
      </c>
      <c r="D31" t="s">
        <v>2</v>
      </c>
      <c r="E31" t="s">
        <v>2</v>
      </c>
      <c r="F31" t="s">
        <v>3</v>
      </c>
      <c r="G31">
        <v>1978</v>
      </c>
      <c r="H31">
        <v>2016</v>
      </c>
      <c r="I31" t="s">
        <v>1</v>
      </c>
      <c r="J31" t="s">
        <v>300</v>
      </c>
      <c r="Q31" t="s">
        <v>73</v>
      </c>
      <c r="R31" t="s">
        <v>74</v>
      </c>
      <c r="S31" t="s">
        <v>75</v>
      </c>
      <c r="T31" t="s">
        <v>76</v>
      </c>
      <c r="U31" t="s">
        <v>77</v>
      </c>
      <c r="V31" t="s">
        <v>77</v>
      </c>
      <c r="W31" t="s">
        <v>0</v>
      </c>
      <c r="X31">
        <v>999</v>
      </c>
      <c r="Y31" t="s">
        <v>177</v>
      </c>
      <c r="AC31">
        <v>0.38</v>
      </c>
      <c r="AE31" t="s">
        <v>359</v>
      </c>
      <c r="AO31">
        <v>1</v>
      </c>
      <c r="AP31">
        <v>2012</v>
      </c>
      <c r="AT31">
        <v>328.6</v>
      </c>
      <c r="AV31" t="s">
        <v>360</v>
      </c>
      <c r="BD31">
        <v>328.6</v>
      </c>
      <c r="BH31">
        <v>0.91400000000000003</v>
      </c>
      <c r="BJ31" t="s">
        <v>180</v>
      </c>
      <c r="BP31">
        <v>0.91400000000000003</v>
      </c>
      <c r="BV31">
        <v>0.31</v>
      </c>
      <c r="CD31">
        <v>300</v>
      </c>
      <c r="CE31" t="s">
        <v>360</v>
      </c>
      <c r="CI31">
        <v>3</v>
      </c>
      <c r="CJ31" t="s">
        <v>301</v>
      </c>
    </row>
    <row r="32" spans="1:88">
      <c r="A32" t="s">
        <v>169</v>
      </c>
      <c r="B32" t="s">
        <v>363</v>
      </c>
      <c r="C32" t="s">
        <v>364</v>
      </c>
      <c r="D32" t="s">
        <v>2</v>
      </c>
      <c r="E32" t="s">
        <v>2</v>
      </c>
      <c r="F32" t="s">
        <v>30</v>
      </c>
      <c r="G32">
        <v>1946</v>
      </c>
      <c r="H32">
        <v>2007</v>
      </c>
      <c r="I32" t="s">
        <v>29</v>
      </c>
      <c r="J32" t="s">
        <v>208</v>
      </c>
      <c r="Q32" t="s">
        <v>73</v>
      </c>
      <c r="R32" t="s">
        <v>74</v>
      </c>
      <c r="S32" t="s">
        <v>78</v>
      </c>
      <c r="T32" t="s">
        <v>81</v>
      </c>
      <c r="U32" t="s">
        <v>82</v>
      </c>
      <c r="V32" t="s">
        <v>365</v>
      </c>
      <c r="W32" t="s">
        <v>23</v>
      </c>
      <c r="X32">
        <v>0</v>
      </c>
      <c r="Y32" t="s">
        <v>177</v>
      </c>
      <c r="AC32">
        <v>0.22</v>
      </c>
      <c r="AO32">
        <v>3</v>
      </c>
      <c r="AP32">
        <v>2007</v>
      </c>
      <c r="AT32">
        <v>7.88</v>
      </c>
      <c r="AV32" t="s">
        <v>366</v>
      </c>
      <c r="BD32">
        <v>7.88</v>
      </c>
      <c r="BH32">
        <v>0.49</v>
      </c>
      <c r="BJ32" t="s">
        <v>180</v>
      </c>
      <c r="BP32">
        <v>0.49</v>
      </c>
      <c r="BV32">
        <v>0.38600000000000001</v>
      </c>
      <c r="CD32">
        <v>9.157</v>
      </c>
      <c r="CE32" t="s">
        <v>366</v>
      </c>
      <c r="CI32">
        <v>1</v>
      </c>
      <c r="CJ32" t="s">
        <v>301</v>
      </c>
    </row>
    <row r="33" spans="1:88">
      <c r="A33" t="s">
        <v>169</v>
      </c>
      <c r="B33" t="s">
        <v>367</v>
      </c>
      <c r="C33" t="s">
        <v>364</v>
      </c>
      <c r="D33" t="s">
        <v>2</v>
      </c>
      <c r="E33" t="s">
        <v>2</v>
      </c>
      <c r="F33" t="s">
        <v>28</v>
      </c>
      <c r="G33">
        <v>1946</v>
      </c>
      <c r="H33">
        <v>2011</v>
      </c>
      <c r="I33" t="s">
        <v>27</v>
      </c>
      <c r="J33" t="s">
        <v>208</v>
      </c>
      <c r="Q33" t="s">
        <v>73</v>
      </c>
      <c r="R33" t="s">
        <v>74</v>
      </c>
      <c r="S33" t="s">
        <v>78</v>
      </c>
      <c r="T33" t="s">
        <v>81</v>
      </c>
      <c r="U33" t="s">
        <v>82</v>
      </c>
      <c r="V33" t="s">
        <v>365</v>
      </c>
      <c r="W33" t="s">
        <v>23</v>
      </c>
      <c r="X33">
        <v>0</v>
      </c>
      <c r="Y33" t="s">
        <v>177</v>
      </c>
      <c r="AC33">
        <v>0.22</v>
      </c>
      <c r="AO33">
        <v>2</v>
      </c>
      <c r="AP33">
        <v>2007</v>
      </c>
      <c r="AT33">
        <v>7.43</v>
      </c>
      <c r="AV33" t="s">
        <v>366</v>
      </c>
      <c r="BD33">
        <v>7.43</v>
      </c>
      <c r="BH33">
        <v>0.65</v>
      </c>
      <c r="BJ33" t="s">
        <v>180</v>
      </c>
      <c r="BP33">
        <v>0.65</v>
      </c>
      <c r="BV33">
        <v>0.75</v>
      </c>
      <c r="CD33">
        <v>5.98</v>
      </c>
      <c r="CE33" t="s">
        <v>366</v>
      </c>
      <c r="CI33">
        <v>1</v>
      </c>
      <c r="CJ33" t="s">
        <v>301</v>
      </c>
    </row>
    <row r="34" spans="1:88">
      <c r="A34" t="s">
        <v>169</v>
      </c>
      <c r="B34" t="s">
        <v>363</v>
      </c>
      <c r="C34" t="s">
        <v>364</v>
      </c>
      <c r="D34" t="s">
        <v>2</v>
      </c>
      <c r="E34" t="s">
        <v>2</v>
      </c>
      <c r="F34" t="s">
        <v>30</v>
      </c>
      <c r="G34">
        <v>1946</v>
      </c>
      <c r="H34">
        <v>2007</v>
      </c>
      <c r="I34" t="s">
        <v>29</v>
      </c>
      <c r="J34" t="s">
        <v>208</v>
      </c>
      <c r="Q34" t="s">
        <v>73</v>
      </c>
      <c r="R34" t="s">
        <v>74</v>
      </c>
      <c r="S34" t="s">
        <v>78</v>
      </c>
      <c r="T34" t="s">
        <v>81</v>
      </c>
      <c r="U34" t="s">
        <v>82</v>
      </c>
      <c r="V34" t="s">
        <v>365</v>
      </c>
      <c r="W34" t="s">
        <v>23</v>
      </c>
      <c r="X34">
        <v>0</v>
      </c>
      <c r="Y34" t="s">
        <v>177</v>
      </c>
      <c r="AC34">
        <v>0.22</v>
      </c>
      <c r="AO34">
        <v>3</v>
      </c>
      <c r="AP34">
        <v>2007</v>
      </c>
      <c r="AT34">
        <v>7.88</v>
      </c>
      <c r="AV34" t="s">
        <v>366</v>
      </c>
      <c r="BD34">
        <v>7.88</v>
      </c>
      <c r="BH34">
        <v>0.49</v>
      </c>
      <c r="BJ34" t="s">
        <v>180</v>
      </c>
      <c r="BP34">
        <v>0.49</v>
      </c>
      <c r="BV34">
        <v>0.38600000000000001</v>
      </c>
      <c r="CD34">
        <v>9.157</v>
      </c>
      <c r="CE34" t="s">
        <v>366</v>
      </c>
      <c r="CI34">
        <v>2</v>
      </c>
      <c r="CJ34" t="s">
        <v>297</v>
      </c>
    </row>
    <row r="35" spans="1:88">
      <c r="A35" t="s">
        <v>169</v>
      </c>
      <c r="B35" t="s">
        <v>368</v>
      </c>
      <c r="C35" t="s">
        <v>364</v>
      </c>
      <c r="D35" t="s">
        <v>2</v>
      </c>
      <c r="E35" t="s">
        <v>2</v>
      </c>
      <c r="F35" t="s">
        <v>25</v>
      </c>
      <c r="G35">
        <v>1946</v>
      </c>
      <c r="H35">
        <v>2018</v>
      </c>
      <c r="I35" t="s">
        <v>24</v>
      </c>
      <c r="J35" t="s">
        <v>208</v>
      </c>
      <c r="Q35" t="s">
        <v>73</v>
      </c>
      <c r="R35" t="s">
        <v>74</v>
      </c>
      <c r="S35" t="s">
        <v>78</v>
      </c>
      <c r="T35" t="s">
        <v>81</v>
      </c>
      <c r="U35" t="s">
        <v>82</v>
      </c>
      <c r="V35" t="s">
        <v>365</v>
      </c>
      <c r="W35" t="s">
        <v>23</v>
      </c>
      <c r="X35">
        <v>999</v>
      </c>
      <c r="Y35" t="s">
        <v>177</v>
      </c>
      <c r="AC35">
        <v>0.22</v>
      </c>
      <c r="AO35">
        <v>1</v>
      </c>
      <c r="AP35">
        <v>2007</v>
      </c>
      <c r="AT35">
        <v>23.77</v>
      </c>
      <c r="AV35" t="s">
        <v>366</v>
      </c>
      <c r="BD35">
        <v>23.77</v>
      </c>
      <c r="BH35">
        <v>0.42299999999999999</v>
      </c>
      <c r="BJ35" t="s">
        <v>180</v>
      </c>
      <c r="BP35">
        <v>0.42299999999999999</v>
      </c>
      <c r="BV35">
        <v>0.41</v>
      </c>
      <c r="CD35">
        <v>18.3</v>
      </c>
      <c r="CE35" t="s">
        <v>366</v>
      </c>
      <c r="CI35">
        <v>2</v>
      </c>
      <c r="CJ35" t="s">
        <v>297</v>
      </c>
    </row>
    <row r="36" spans="1:88">
      <c r="A36" t="s">
        <v>169</v>
      </c>
      <c r="B36" t="s">
        <v>367</v>
      </c>
      <c r="C36" t="s">
        <v>364</v>
      </c>
      <c r="D36" t="s">
        <v>2</v>
      </c>
      <c r="E36" t="s">
        <v>2</v>
      </c>
      <c r="F36" t="s">
        <v>28</v>
      </c>
      <c r="G36">
        <v>1946</v>
      </c>
      <c r="H36">
        <v>2011</v>
      </c>
      <c r="I36" t="s">
        <v>27</v>
      </c>
      <c r="J36" t="s">
        <v>208</v>
      </c>
      <c r="Q36" t="s">
        <v>73</v>
      </c>
      <c r="R36" t="s">
        <v>74</v>
      </c>
      <c r="S36" t="s">
        <v>78</v>
      </c>
      <c r="T36" t="s">
        <v>81</v>
      </c>
      <c r="U36" t="s">
        <v>82</v>
      </c>
      <c r="V36" t="s">
        <v>365</v>
      </c>
      <c r="W36" t="s">
        <v>23</v>
      </c>
      <c r="X36">
        <v>0</v>
      </c>
      <c r="Y36" t="s">
        <v>177</v>
      </c>
      <c r="AC36">
        <v>0.22</v>
      </c>
      <c r="AO36">
        <v>2</v>
      </c>
      <c r="AP36">
        <v>2011</v>
      </c>
      <c r="AT36">
        <v>5.86</v>
      </c>
      <c r="AV36" t="s">
        <v>366</v>
      </c>
      <c r="BD36">
        <v>5.86</v>
      </c>
      <c r="BH36">
        <v>0.57999999999999996</v>
      </c>
      <c r="BJ36" t="s">
        <v>180</v>
      </c>
      <c r="BP36">
        <v>0.57999999999999996</v>
      </c>
      <c r="BV36">
        <v>0.75</v>
      </c>
      <c r="CD36">
        <v>5.98</v>
      </c>
      <c r="CE36" t="s">
        <v>366</v>
      </c>
      <c r="CI36">
        <v>3</v>
      </c>
      <c r="CJ36" t="s">
        <v>297</v>
      </c>
    </row>
    <row r="37" spans="1:88">
      <c r="A37" t="s">
        <v>169</v>
      </c>
      <c r="B37" t="s">
        <v>368</v>
      </c>
      <c r="C37" t="s">
        <v>364</v>
      </c>
      <c r="D37" t="s">
        <v>2</v>
      </c>
      <c r="E37" t="s">
        <v>2</v>
      </c>
      <c r="F37" t="s">
        <v>25</v>
      </c>
      <c r="G37">
        <v>1946</v>
      </c>
      <c r="H37">
        <v>2018</v>
      </c>
      <c r="I37" t="s">
        <v>24</v>
      </c>
      <c r="J37" t="s">
        <v>208</v>
      </c>
      <c r="Q37" t="s">
        <v>73</v>
      </c>
      <c r="R37" t="s">
        <v>74</v>
      </c>
      <c r="S37" t="s">
        <v>78</v>
      </c>
      <c r="T37" t="s">
        <v>81</v>
      </c>
      <c r="U37" t="s">
        <v>82</v>
      </c>
      <c r="V37" t="s">
        <v>365</v>
      </c>
      <c r="W37" t="s">
        <v>23</v>
      </c>
      <c r="X37">
        <v>999</v>
      </c>
      <c r="Y37" t="s">
        <v>177</v>
      </c>
      <c r="AC37">
        <v>0.22</v>
      </c>
      <c r="AO37">
        <v>1</v>
      </c>
      <c r="AP37">
        <v>2011</v>
      </c>
      <c r="AT37">
        <v>24.46</v>
      </c>
      <c r="AV37" t="s">
        <v>366</v>
      </c>
      <c r="BD37">
        <v>24.46</v>
      </c>
      <c r="BH37">
        <v>0.188</v>
      </c>
      <c r="BJ37" t="s">
        <v>180</v>
      </c>
      <c r="BP37">
        <v>0.188</v>
      </c>
      <c r="BV37">
        <v>0.41</v>
      </c>
      <c r="CD37">
        <v>18.3</v>
      </c>
      <c r="CE37" t="s">
        <v>366</v>
      </c>
      <c r="CI37">
        <v>3</v>
      </c>
      <c r="CJ37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2ASSESS</vt:lpstr>
      <vt:lpstr>3ASSESS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Bi, Rujia</dc:creator>
  <cp:lastModifiedBy>Bi, Rujia</cp:lastModifiedBy>
  <dcterms:created xsi:type="dcterms:W3CDTF">2021-11-26T05:33:42Z</dcterms:created>
  <dcterms:modified xsi:type="dcterms:W3CDTF">2022-03-16T23:25:59Z</dcterms:modified>
</cp:coreProperties>
</file>