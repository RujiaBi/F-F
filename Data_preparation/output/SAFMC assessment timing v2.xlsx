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jiabi/Desktop/Climate_Stock/Bi_Code/B_F_OFL_dist/Data_preparation/output/"/>
    </mc:Choice>
  </mc:AlternateContent>
  <xr:revisionPtr revIDLastSave="0" documentId="13_ncr:1_{84CA14EC-E476-044B-ADF3-2F318EE9DE9D}" xr6:coauthVersionLast="36" xr6:coauthVersionMax="47" xr10:uidLastSave="{00000000-0000-0000-0000-000000000000}"/>
  <bookViews>
    <workbookView xWindow="0" yWindow="460" windowWidth="23260" windowHeight="12580" xr2:uid="{2524AD63-A2E2-4AFF-A218-324EB4FC5F7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2" l="1"/>
  <c r="G25" i="2"/>
  <c r="AB2" i="2"/>
  <c r="AB10" i="2"/>
  <c r="AB8" i="2"/>
  <c r="AB11" i="2"/>
  <c r="AB17" i="2"/>
  <c r="AB12" i="2"/>
  <c r="AB18" i="2"/>
  <c r="AB5" i="2"/>
  <c r="AB13" i="2"/>
  <c r="AB6" i="2"/>
  <c r="AB14" i="2"/>
  <c r="AB3" i="2"/>
  <c r="AB19" i="2"/>
  <c r="AB9" i="2"/>
  <c r="AB15" i="2"/>
  <c r="AB20" i="2"/>
  <c r="AB7" i="2"/>
  <c r="AB4" i="2"/>
  <c r="AB22" i="2"/>
  <c r="AB16" i="2"/>
  <c r="AB21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B23" i="2"/>
</calcChain>
</file>

<file path=xl/sharedStrings.xml><?xml version="1.0" encoding="utf-8"?>
<sst xmlns="http://schemas.openxmlformats.org/spreadsheetml/2006/main" count="200" uniqueCount="30">
  <si>
    <t>Black Sea Bass</t>
  </si>
  <si>
    <t>Black Grouper</t>
  </si>
  <si>
    <t>Blueline Tilefish</t>
  </si>
  <si>
    <t>Gag</t>
  </si>
  <si>
    <t>Gray Triggerfish</t>
  </si>
  <si>
    <t>Greater Amberjack</t>
  </si>
  <si>
    <t>Hogfish</t>
  </si>
  <si>
    <t>King Mackerel</t>
  </si>
  <si>
    <t>Mutton Snapper</t>
  </si>
  <si>
    <t>Red Porgy</t>
  </si>
  <si>
    <t>Red Grouper</t>
  </si>
  <si>
    <t>Red Snapper</t>
  </si>
  <si>
    <t>Scamp</t>
  </si>
  <si>
    <t>Snowy Grouper</t>
  </si>
  <si>
    <t>Spanish Mackerel</t>
  </si>
  <si>
    <t>Spiny Lobster</t>
  </si>
  <si>
    <t>Tilefish</t>
  </si>
  <si>
    <t>Vermilion Snapper</t>
  </si>
  <si>
    <t>Yellowtail Snapper</t>
  </si>
  <si>
    <t>Species</t>
  </si>
  <si>
    <t>x</t>
  </si>
  <si>
    <t>Goliath Grouper</t>
  </si>
  <si>
    <t>N</t>
  </si>
  <si>
    <t>White Grunt</t>
  </si>
  <si>
    <t>too often</t>
  </si>
  <si>
    <t>good timing</t>
  </si>
  <si>
    <t>too rare</t>
  </si>
  <si>
    <t>bad for red green color blind people</t>
  </si>
  <si>
    <t>Assessments Delivered by Year</t>
  </si>
  <si>
    <t>Assessments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</si>
</sst>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310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0" xfId="2" applyFill="1" applyAlignment="1">
      <alignment horizontal="center"/>
    </xf>
    <xf numFmtId="0" fontId="2" fillId="5" borderId="1" xfId="2" applyFill="1" applyBorder="1" applyAlignment="1">
      <alignment horizontal="center"/>
    </xf>
    <xf numFmtId="0" fontId="1" fillId="6" borderId="0" xfId="1" applyFill="1" applyAlignment="1">
      <alignment horizontal="center"/>
    </xf>
    <xf numFmtId="0" fontId="1" fillId="6" borderId="1" xfId="1" applyFill="1" applyBorder="1" applyAlignment="1">
      <alignment horizontal="center"/>
    </xf>
    <xf numFmtId="0" fontId="2" fillId="7" borderId="0" xfId="2" applyFill="1" applyAlignment="1">
      <alignment horizontal="center"/>
    </xf>
    <xf numFmtId="0" fontId="1" fillId="7" borderId="0" xfId="1" applyFill="1" applyAlignment="1">
      <alignment horizontal="center"/>
    </xf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2" fillId="8" borderId="0" xfId="2" applyFill="1" applyAlignment="1">
      <alignment horizontal="center"/>
    </xf>
    <xf numFmtId="0" fontId="3" fillId="9" borderId="0" xfId="0" applyFont="1" applyFill="1"/>
    <xf numFmtId="0" fontId="1" fillId="9" borderId="0" xfId="1" applyFill="1" applyAlignment="1">
      <alignment horizontal="center"/>
    </xf>
    <xf numFmtId="0" fontId="1" fillId="9" borderId="1" xfId="1" applyFill="1" applyBorder="1" applyAlignment="1">
      <alignment horizontal="center"/>
    </xf>
    <xf numFmtId="0" fontId="2" fillId="8" borderId="1" xfId="2" applyFill="1" applyBorder="1" applyAlignment="1">
      <alignment horizontal="center"/>
    </xf>
    <xf numFmtId="0" fontId="2" fillId="10" borderId="0" xfId="2" applyFill="1" applyAlignment="1">
      <alignment horizontal="center"/>
    </xf>
    <xf numFmtId="0" fontId="1" fillId="9" borderId="0" xfId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8" borderId="0" xfId="2" applyFill="1" applyBorder="1" applyAlignment="1">
      <alignment horizontal="center"/>
    </xf>
    <xf numFmtId="0" fontId="0" fillId="4" borderId="0" xfId="0" applyFill="1" applyBorder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CC00"/>
      <color rgb="FFC63102"/>
      <color rgb="FFEAD644"/>
      <color rgb="FFF7EC09"/>
      <color rgb="FF9E2306"/>
      <color rgb="FFFF5050"/>
      <color rgb="FFABD7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523875</xdr:colOff>
      <xdr:row>0</xdr:row>
      <xdr:rowOff>95250</xdr:rowOff>
    </xdr:from>
    <xdr:to>
      <xdr:col>35</xdr:col>
      <xdr:colOff>114300</xdr:colOff>
      <xdr:row>23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38380FD-6A20-4BD3-AC51-8CC8B9D7906D}"/>
            </a:ext>
          </a:extLst>
        </xdr:cNvPr>
        <xdr:cNvSpPr/>
      </xdr:nvSpPr>
      <xdr:spPr>
        <a:xfrm>
          <a:off x="11734800" y="95250"/>
          <a:ext cx="4238625" cy="433387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6A9E-7BDB-44F0-A8BF-22511295032E}">
  <dimension ref="A1:AC22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17.83203125" bestFit="1" customWidth="1"/>
    <col min="2" max="27" width="5.5" customWidth="1"/>
    <col min="29" max="29" width="15.83203125" customWidth="1"/>
  </cols>
  <sheetData>
    <row r="1" spans="1:29" x14ac:dyDescent="0.2">
      <c r="A1" t="s">
        <v>19</v>
      </c>
      <c r="B1">
        <v>2003</v>
      </c>
      <c r="C1">
        <v>2004</v>
      </c>
      <c r="D1">
        <v>2005</v>
      </c>
      <c r="E1">
        <v>2006</v>
      </c>
      <c r="F1">
        <v>2007</v>
      </c>
      <c r="G1">
        <v>2008</v>
      </c>
      <c r="H1">
        <v>2009</v>
      </c>
      <c r="I1">
        <v>2010</v>
      </c>
      <c r="J1">
        <v>2011</v>
      </c>
      <c r="K1">
        <v>2012</v>
      </c>
      <c r="L1">
        <v>2013</v>
      </c>
      <c r="M1">
        <v>2014</v>
      </c>
      <c r="N1">
        <v>2015</v>
      </c>
      <c r="O1">
        <v>2016</v>
      </c>
      <c r="P1">
        <v>2017</v>
      </c>
      <c r="Q1">
        <v>2018</v>
      </c>
      <c r="R1">
        <v>2019</v>
      </c>
      <c r="S1">
        <v>2020</v>
      </c>
      <c r="T1">
        <v>2021</v>
      </c>
      <c r="U1">
        <v>2022</v>
      </c>
      <c r="V1">
        <v>2023</v>
      </c>
      <c r="W1">
        <v>2024</v>
      </c>
      <c r="X1">
        <v>2025</v>
      </c>
      <c r="Y1">
        <v>2026</v>
      </c>
      <c r="Z1">
        <v>2027</v>
      </c>
      <c r="AA1">
        <v>2028</v>
      </c>
    </row>
    <row r="2" spans="1:29" x14ac:dyDescent="0.2">
      <c r="A2" t="s">
        <v>1</v>
      </c>
      <c r="B2" s="2"/>
      <c r="C2" s="2"/>
      <c r="D2" s="2"/>
      <c r="E2" s="2"/>
      <c r="F2" s="2"/>
      <c r="G2" s="2"/>
      <c r="H2" s="2"/>
      <c r="I2" s="2" t="s">
        <v>20</v>
      </c>
      <c r="J2" s="8"/>
      <c r="K2" s="8"/>
      <c r="L2" s="8"/>
      <c r="M2" s="8"/>
      <c r="N2" s="2" t="s">
        <v>22</v>
      </c>
      <c r="O2" s="2"/>
      <c r="P2" s="2"/>
      <c r="Q2" s="2"/>
      <c r="R2" s="2"/>
      <c r="S2" s="4"/>
      <c r="T2" s="2"/>
      <c r="U2" s="2"/>
      <c r="V2" s="2"/>
      <c r="W2" s="2"/>
      <c r="X2" s="2"/>
      <c r="Y2" s="2"/>
      <c r="Z2" s="2"/>
      <c r="AA2" s="3"/>
    </row>
    <row r="3" spans="1:29" x14ac:dyDescent="0.2">
      <c r="A3" t="s">
        <v>0</v>
      </c>
      <c r="B3" s="1" t="s">
        <v>20</v>
      </c>
      <c r="C3" s="6"/>
      <c r="D3" s="1" t="s">
        <v>20</v>
      </c>
      <c r="E3" s="8"/>
      <c r="F3" s="8"/>
      <c r="G3" s="8"/>
      <c r="H3" s="8"/>
      <c r="I3" s="8"/>
      <c r="J3" s="1" t="s">
        <v>20</v>
      </c>
      <c r="K3" s="10"/>
      <c r="L3" s="1" t="s">
        <v>20</v>
      </c>
      <c r="M3" s="8"/>
      <c r="N3" s="8"/>
      <c r="O3" s="8"/>
      <c r="P3" s="8"/>
      <c r="Q3" s="1" t="s">
        <v>20</v>
      </c>
      <c r="R3" s="8"/>
      <c r="S3" s="9"/>
      <c r="T3" s="8"/>
      <c r="U3" s="8"/>
      <c r="V3" s="1" t="s">
        <v>20</v>
      </c>
      <c r="W3" s="1"/>
      <c r="X3" s="1"/>
      <c r="Y3" s="1"/>
      <c r="Z3" s="1"/>
      <c r="AC3" t="s">
        <v>27</v>
      </c>
    </row>
    <row r="4" spans="1:29" x14ac:dyDescent="0.2">
      <c r="A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1" t="s">
        <v>20</v>
      </c>
      <c r="M4" s="8"/>
      <c r="N4" s="8"/>
      <c r="O4" s="8"/>
      <c r="P4" s="1" t="s">
        <v>20</v>
      </c>
      <c r="Q4" s="6"/>
      <c r="R4" s="6"/>
      <c r="S4" s="7"/>
      <c r="T4" s="6"/>
      <c r="U4" s="6"/>
      <c r="V4" s="6"/>
      <c r="W4" s="1" t="s">
        <v>20</v>
      </c>
      <c r="X4" s="1"/>
      <c r="Y4" s="1"/>
      <c r="Z4" s="1"/>
      <c r="AC4" s="12" t="s">
        <v>26</v>
      </c>
    </row>
    <row r="5" spans="1:29" x14ac:dyDescent="0.2">
      <c r="A5" t="s">
        <v>3</v>
      </c>
      <c r="B5" s="2"/>
      <c r="C5" s="2"/>
      <c r="D5" s="2"/>
      <c r="E5" s="1" t="s">
        <v>20</v>
      </c>
      <c r="F5" s="6"/>
      <c r="G5" s="6"/>
      <c r="H5" s="6"/>
      <c r="I5" s="6"/>
      <c r="J5" s="6"/>
      <c r="K5" s="6"/>
      <c r="L5" s="6"/>
      <c r="M5" s="1" t="s">
        <v>20</v>
      </c>
      <c r="N5" s="6"/>
      <c r="O5" s="6"/>
      <c r="P5" s="6"/>
      <c r="Q5" s="6"/>
      <c r="R5" s="6"/>
      <c r="S5" s="7"/>
      <c r="T5" s="1" t="s">
        <v>20</v>
      </c>
      <c r="U5" s="8"/>
      <c r="V5" s="8"/>
      <c r="W5" s="8"/>
      <c r="X5" s="1" t="s">
        <v>20</v>
      </c>
      <c r="Y5" s="1"/>
      <c r="Z5" s="1"/>
      <c r="AC5" s="13" t="s">
        <v>25</v>
      </c>
    </row>
    <row r="6" spans="1:29" x14ac:dyDescent="0.2">
      <c r="A6" t="s">
        <v>21</v>
      </c>
      <c r="B6" s="1"/>
      <c r="C6" s="1" t="s">
        <v>20</v>
      </c>
      <c r="D6" s="6"/>
      <c r="E6" s="6"/>
      <c r="F6" s="6"/>
      <c r="G6" s="6"/>
      <c r="H6" s="6"/>
      <c r="I6" s="6"/>
      <c r="J6" s="1" t="s">
        <v>20</v>
      </c>
      <c r="K6" s="8"/>
      <c r="L6" s="8"/>
      <c r="M6" s="8"/>
      <c r="N6" s="8"/>
      <c r="O6" s="1" t="s">
        <v>20</v>
      </c>
      <c r="P6" s="6"/>
      <c r="Q6" s="6"/>
      <c r="R6" s="6"/>
      <c r="S6" s="7"/>
      <c r="T6" s="6"/>
      <c r="U6" s="6"/>
      <c r="V6" s="6"/>
      <c r="W6" s="6"/>
      <c r="X6" s="6"/>
      <c r="Y6" s="1"/>
      <c r="Z6" s="1"/>
      <c r="AC6" s="14" t="s">
        <v>24</v>
      </c>
    </row>
    <row r="7" spans="1:29" x14ac:dyDescent="0.2">
      <c r="A7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 t="s">
        <v>22</v>
      </c>
      <c r="P7" s="2"/>
      <c r="Q7" s="2"/>
      <c r="R7" s="2"/>
      <c r="S7" s="4"/>
      <c r="T7" s="2"/>
      <c r="U7" s="2"/>
      <c r="V7" s="1" t="s">
        <v>20</v>
      </c>
      <c r="W7" s="1" t="s">
        <v>20</v>
      </c>
      <c r="X7" s="1"/>
      <c r="Y7" s="1"/>
      <c r="Z7" s="1"/>
    </row>
    <row r="8" spans="1:29" x14ac:dyDescent="0.2">
      <c r="A8" t="s">
        <v>5</v>
      </c>
      <c r="B8" s="2"/>
      <c r="C8" s="2"/>
      <c r="D8" s="2"/>
      <c r="E8" s="2"/>
      <c r="F8" s="1" t="s">
        <v>20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5" t="s">
        <v>20</v>
      </c>
      <c r="T8" s="6"/>
      <c r="U8" s="6"/>
      <c r="V8" s="6"/>
      <c r="W8" s="6"/>
      <c r="X8" s="6"/>
      <c r="Y8" s="6"/>
      <c r="Z8" s="1" t="s">
        <v>20</v>
      </c>
    </row>
    <row r="9" spans="1:29" x14ac:dyDescent="0.2">
      <c r="A9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" t="s">
        <v>20</v>
      </c>
      <c r="N9" s="6"/>
      <c r="O9" s="6"/>
      <c r="P9" s="6"/>
      <c r="Q9" s="6"/>
      <c r="R9" s="6"/>
      <c r="S9" s="7"/>
      <c r="T9" s="6"/>
      <c r="U9" s="6"/>
      <c r="V9" s="6"/>
      <c r="W9" s="6"/>
      <c r="X9" s="1" t="s">
        <v>20</v>
      </c>
      <c r="Y9" s="1"/>
      <c r="Z9" s="1"/>
    </row>
    <row r="10" spans="1:29" x14ac:dyDescent="0.2">
      <c r="A10" t="s">
        <v>7</v>
      </c>
      <c r="B10" s="2"/>
      <c r="C10" s="1" t="s">
        <v>20</v>
      </c>
      <c r="D10" s="8"/>
      <c r="E10" s="8"/>
      <c r="F10" s="8"/>
      <c r="G10" s="8"/>
      <c r="H10" s="1" t="s">
        <v>20</v>
      </c>
      <c r="I10" s="8"/>
      <c r="J10" s="8"/>
      <c r="K10" s="8"/>
      <c r="L10" s="8"/>
      <c r="M10" s="1" t="s">
        <v>20</v>
      </c>
      <c r="N10" s="8"/>
      <c r="O10" s="8"/>
      <c r="P10" s="8"/>
      <c r="Q10" s="8"/>
      <c r="R10" s="8"/>
      <c r="S10" s="5" t="s">
        <v>20</v>
      </c>
      <c r="T10" s="8"/>
      <c r="U10" s="8"/>
      <c r="V10" s="8"/>
      <c r="W10" s="8"/>
      <c r="X10" s="1" t="s">
        <v>20</v>
      </c>
      <c r="Y10" s="1"/>
      <c r="Z10" s="1"/>
    </row>
    <row r="11" spans="1:29" x14ac:dyDescent="0.2">
      <c r="A11" t="s">
        <v>8</v>
      </c>
      <c r="B11" s="2"/>
      <c r="C11" s="2"/>
      <c r="D11" s="2"/>
      <c r="E11" s="2"/>
      <c r="F11" s="1" t="s">
        <v>20</v>
      </c>
      <c r="G11" s="6"/>
      <c r="H11" s="6"/>
      <c r="I11" s="6"/>
      <c r="J11" s="6"/>
      <c r="K11" s="6"/>
      <c r="L11" s="6"/>
      <c r="M11" s="1" t="s">
        <v>20</v>
      </c>
      <c r="N11" s="6"/>
      <c r="O11" s="6"/>
      <c r="P11" s="6"/>
      <c r="Q11" s="6"/>
      <c r="R11" s="6"/>
      <c r="S11" s="7"/>
      <c r="T11" s="6"/>
      <c r="U11" s="6"/>
      <c r="V11" s="1" t="s">
        <v>20</v>
      </c>
      <c r="W11" s="1"/>
      <c r="X11" s="1"/>
      <c r="Y11" s="1"/>
      <c r="Z11" s="1"/>
    </row>
    <row r="12" spans="1:29" x14ac:dyDescent="0.2">
      <c r="A12" t="s">
        <v>9</v>
      </c>
      <c r="B12" s="1" t="s">
        <v>20</v>
      </c>
      <c r="C12" s="10"/>
      <c r="D12" s="10"/>
      <c r="E12" s="1" t="s">
        <v>20</v>
      </c>
      <c r="F12" s="8"/>
      <c r="G12" s="8"/>
      <c r="H12" s="8"/>
      <c r="I12" s="8"/>
      <c r="J12" s="8"/>
      <c r="K12" s="1" t="s">
        <v>20</v>
      </c>
      <c r="L12" s="6"/>
      <c r="M12" s="6"/>
      <c r="N12" s="6"/>
      <c r="O12" s="6"/>
      <c r="P12" s="6"/>
      <c r="Q12" s="6"/>
      <c r="R12" s="6"/>
      <c r="S12" s="5" t="s">
        <v>20</v>
      </c>
      <c r="T12" s="8"/>
      <c r="U12" s="8"/>
      <c r="V12" s="8"/>
      <c r="W12" s="8"/>
      <c r="X12" s="1" t="s">
        <v>20</v>
      </c>
      <c r="Y12" s="1"/>
      <c r="Z12" s="1"/>
    </row>
    <row r="13" spans="1:29" x14ac:dyDescent="0.2">
      <c r="A13" t="s">
        <v>10</v>
      </c>
      <c r="B13" s="2"/>
      <c r="C13" s="2"/>
      <c r="D13" s="2"/>
      <c r="E13" s="2"/>
      <c r="F13" s="2"/>
      <c r="G13" s="2"/>
      <c r="H13" s="2"/>
      <c r="I13" s="1" t="s">
        <v>20</v>
      </c>
      <c r="J13" s="6"/>
      <c r="K13" s="6"/>
      <c r="L13" s="6"/>
      <c r="M13" s="6"/>
      <c r="N13" s="6"/>
      <c r="O13" s="6"/>
      <c r="P13" s="1" t="s">
        <v>20</v>
      </c>
      <c r="Q13" s="8"/>
      <c r="R13" s="8"/>
      <c r="S13" s="9"/>
      <c r="T13" s="8"/>
      <c r="U13" s="8"/>
      <c r="V13" s="1" t="s">
        <v>20</v>
      </c>
      <c r="W13" s="1"/>
      <c r="X13" s="1"/>
      <c r="Y13" s="1"/>
      <c r="Z13" s="1"/>
    </row>
    <row r="14" spans="1:29" x14ac:dyDescent="0.2">
      <c r="A14" t="s">
        <v>11</v>
      </c>
      <c r="B14" s="2"/>
      <c r="C14" s="2"/>
      <c r="D14" s="2"/>
      <c r="E14" s="2"/>
      <c r="F14" s="1" t="s">
        <v>20</v>
      </c>
      <c r="G14" s="10"/>
      <c r="H14" s="10"/>
      <c r="I14" s="1" t="s">
        <v>20</v>
      </c>
      <c r="J14" s="8"/>
      <c r="K14" s="8"/>
      <c r="L14" s="8"/>
      <c r="M14" s="8"/>
      <c r="N14" s="8"/>
      <c r="O14" s="1" t="s">
        <v>20</v>
      </c>
      <c r="P14" s="8"/>
      <c r="Q14" s="8"/>
      <c r="R14" s="8"/>
      <c r="S14" s="9"/>
      <c r="T14" s="1" t="s">
        <v>20</v>
      </c>
      <c r="U14" s="8"/>
      <c r="V14" s="8"/>
      <c r="W14" s="8"/>
      <c r="X14" s="1" t="s">
        <v>20</v>
      </c>
      <c r="Y14" s="1" t="s">
        <v>20</v>
      </c>
      <c r="Z14" s="1"/>
    </row>
    <row r="15" spans="1:29" x14ac:dyDescent="0.2">
      <c r="A15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4"/>
      <c r="T15" s="1" t="s">
        <v>20</v>
      </c>
      <c r="U15" s="1" t="s">
        <v>20</v>
      </c>
      <c r="V15" s="1"/>
      <c r="W15" s="1"/>
      <c r="X15" s="1"/>
      <c r="Y15" s="1"/>
      <c r="Z15" s="1"/>
    </row>
    <row r="16" spans="1:29" x14ac:dyDescent="0.2">
      <c r="A16" t="s">
        <v>13</v>
      </c>
      <c r="B16" s="1" t="s">
        <v>20</v>
      </c>
      <c r="C16" s="6"/>
      <c r="D16" s="6"/>
      <c r="E16" s="6"/>
      <c r="F16" s="6"/>
      <c r="G16" s="6"/>
      <c r="H16" s="6"/>
      <c r="I16" s="6"/>
      <c r="J16" s="6"/>
      <c r="K16" s="6"/>
      <c r="L16" s="1" t="s">
        <v>20</v>
      </c>
      <c r="M16" s="6"/>
      <c r="N16" s="6"/>
      <c r="O16" s="6"/>
      <c r="P16" s="6"/>
      <c r="Q16" s="6"/>
      <c r="R16" s="6"/>
      <c r="S16" s="5" t="s">
        <v>20</v>
      </c>
      <c r="T16" s="8"/>
      <c r="U16" s="8"/>
      <c r="V16" s="8"/>
      <c r="W16" s="8"/>
      <c r="X16" s="1" t="s">
        <v>20</v>
      </c>
      <c r="Y16" s="1"/>
      <c r="Z16" s="1"/>
    </row>
    <row r="17" spans="1:26" x14ac:dyDescent="0.2">
      <c r="A17" t="s">
        <v>14</v>
      </c>
      <c r="B17" s="2"/>
      <c r="C17" s="2"/>
      <c r="D17" s="2"/>
      <c r="E17" s="2"/>
      <c r="F17" s="2"/>
      <c r="G17" s="1" t="s">
        <v>20</v>
      </c>
      <c r="H17" s="8"/>
      <c r="I17" s="8"/>
      <c r="J17" s="8"/>
      <c r="K17" s="1" t="s">
        <v>20</v>
      </c>
      <c r="L17" s="6"/>
      <c r="M17" s="6"/>
      <c r="N17" s="6"/>
      <c r="O17" s="6"/>
      <c r="P17" s="6"/>
      <c r="Q17" s="6"/>
      <c r="R17" s="6"/>
      <c r="S17" s="7"/>
      <c r="T17" s="6"/>
      <c r="U17" s="1" t="s">
        <v>20</v>
      </c>
      <c r="V17" s="1"/>
      <c r="W17" s="1"/>
      <c r="X17" s="1"/>
      <c r="Y17" s="1"/>
      <c r="Z17" s="1"/>
    </row>
    <row r="18" spans="1:26" x14ac:dyDescent="0.2">
      <c r="A18" t="s">
        <v>15</v>
      </c>
      <c r="B18" s="2"/>
      <c r="C18" s="2"/>
      <c r="D18" s="1" t="s">
        <v>20</v>
      </c>
      <c r="E18" s="8"/>
      <c r="F18" s="8"/>
      <c r="G18" s="8"/>
      <c r="H18" s="8"/>
      <c r="I18" s="1" t="s">
        <v>20</v>
      </c>
      <c r="J18" s="6"/>
      <c r="K18" s="6"/>
      <c r="L18" s="6"/>
      <c r="M18" s="6"/>
      <c r="N18" s="6"/>
      <c r="O18" s="6"/>
      <c r="P18" s="6"/>
      <c r="Q18" s="6"/>
      <c r="R18" s="6"/>
      <c r="S18" s="7"/>
      <c r="T18" s="6"/>
      <c r="U18" s="6"/>
      <c r="V18" s="6"/>
      <c r="W18" s="6"/>
      <c r="X18" s="1"/>
      <c r="Y18" s="1"/>
      <c r="Z18" s="1"/>
    </row>
    <row r="19" spans="1:26" x14ac:dyDescent="0.2">
      <c r="A19" t="s">
        <v>16</v>
      </c>
      <c r="B19" s="1" t="s">
        <v>20</v>
      </c>
      <c r="C19" s="6"/>
      <c r="D19" s="6"/>
      <c r="E19" s="6"/>
      <c r="F19" s="6"/>
      <c r="G19" s="6"/>
      <c r="H19" s="6"/>
      <c r="I19" s="6"/>
      <c r="J19" s="1" t="s">
        <v>20</v>
      </c>
      <c r="K19" s="8"/>
      <c r="L19" s="8"/>
      <c r="M19" s="8"/>
      <c r="N19" s="8"/>
      <c r="O19" s="1" t="s">
        <v>20</v>
      </c>
      <c r="P19" s="8"/>
      <c r="Q19" s="8"/>
      <c r="R19" s="8"/>
      <c r="S19" s="9"/>
      <c r="T19" s="1" t="s">
        <v>20</v>
      </c>
      <c r="U19" s="11"/>
      <c r="V19" s="11"/>
      <c r="W19" s="1" t="s">
        <v>20</v>
      </c>
      <c r="X19" s="1"/>
      <c r="Y19" s="1"/>
      <c r="Z19" s="1"/>
    </row>
    <row r="20" spans="1:26" x14ac:dyDescent="0.2">
      <c r="A20" t="s">
        <v>17</v>
      </c>
      <c r="B20" s="1" t="s">
        <v>20</v>
      </c>
      <c r="C20" s="8"/>
      <c r="D20" s="8"/>
      <c r="E20" s="8"/>
      <c r="F20" s="1" t="s">
        <v>20</v>
      </c>
      <c r="G20" s="10" t="s">
        <v>20</v>
      </c>
      <c r="H20" s="8"/>
      <c r="I20" s="8"/>
      <c r="J20" s="8"/>
      <c r="K20" s="1" t="s">
        <v>20</v>
      </c>
      <c r="L20" s="8"/>
      <c r="M20" s="8"/>
      <c r="N20" s="8"/>
      <c r="O20" s="8"/>
      <c r="P20" s="8"/>
      <c r="Q20" s="1" t="s">
        <v>20</v>
      </c>
      <c r="R20" s="8"/>
      <c r="S20" s="9"/>
      <c r="T20" s="8"/>
      <c r="U20" s="8"/>
      <c r="V20" s="1" t="s">
        <v>20</v>
      </c>
      <c r="W20" s="1"/>
      <c r="X20" s="1"/>
      <c r="Y20" s="1"/>
      <c r="Z20" s="1"/>
    </row>
    <row r="21" spans="1:26" x14ac:dyDescent="0.2">
      <c r="A21" t="s">
        <v>23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4"/>
      <c r="T21" s="2"/>
      <c r="U21" s="2"/>
      <c r="V21" s="2"/>
      <c r="W21" s="2"/>
      <c r="X21" s="2"/>
      <c r="Y21" s="2"/>
      <c r="Z21" s="1" t="s">
        <v>20</v>
      </c>
    </row>
    <row r="22" spans="1:26" x14ac:dyDescent="0.2">
      <c r="A22" t="s">
        <v>18</v>
      </c>
      <c r="B22" s="1" t="s">
        <v>20</v>
      </c>
      <c r="C22" s="6"/>
      <c r="D22" s="6"/>
      <c r="E22" s="6"/>
      <c r="F22" s="6"/>
      <c r="G22" s="6"/>
      <c r="H22" s="6"/>
      <c r="I22" s="6"/>
      <c r="J22" s="6"/>
      <c r="K22" s="1" t="s">
        <v>20</v>
      </c>
      <c r="L22" s="6"/>
      <c r="M22" s="6"/>
      <c r="N22" s="6"/>
      <c r="O22" s="6"/>
      <c r="P22" s="6"/>
      <c r="Q22" s="6"/>
      <c r="R22" s="6"/>
      <c r="S22" s="5" t="s">
        <v>20</v>
      </c>
      <c r="T22" s="1"/>
      <c r="U22" s="1"/>
      <c r="V22" s="1"/>
      <c r="W22" s="1"/>
      <c r="X22" s="1"/>
      <c r="Y22" s="1"/>
      <c r="Z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6E92-4A97-4407-AE54-4DA610666790}">
  <dimension ref="A1:AC25"/>
  <sheetViews>
    <sheetView workbookViewId="0">
      <selection activeCell="A23" sqref="A23:XFD23"/>
    </sheetView>
  </sheetViews>
  <sheetFormatPr baseColWidth="10" defaultColWidth="8.83203125" defaultRowHeight="15" x14ac:dyDescent="0.2"/>
  <cols>
    <col min="1" max="1" width="28.33203125" customWidth="1"/>
    <col min="2" max="27" width="5.5" customWidth="1"/>
    <col min="29" max="29" width="14.83203125" customWidth="1"/>
  </cols>
  <sheetData>
    <row r="1" spans="1:29" x14ac:dyDescent="0.2">
      <c r="A1" t="s">
        <v>19</v>
      </c>
      <c r="B1">
        <v>2003</v>
      </c>
      <c r="C1">
        <v>2004</v>
      </c>
      <c r="D1">
        <v>2005</v>
      </c>
      <c r="E1">
        <v>2006</v>
      </c>
      <c r="F1">
        <v>2007</v>
      </c>
      <c r="G1">
        <v>2008</v>
      </c>
      <c r="H1">
        <v>2009</v>
      </c>
      <c r="I1">
        <v>2010</v>
      </c>
      <c r="J1">
        <v>2011</v>
      </c>
      <c r="K1">
        <v>2012</v>
      </c>
      <c r="L1">
        <v>2013</v>
      </c>
      <c r="M1">
        <v>2014</v>
      </c>
      <c r="N1">
        <v>2015</v>
      </c>
      <c r="O1">
        <v>2016</v>
      </c>
      <c r="P1">
        <v>2017</v>
      </c>
      <c r="Q1">
        <v>2018</v>
      </c>
      <c r="R1">
        <v>2019</v>
      </c>
      <c r="S1">
        <v>2020</v>
      </c>
      <c r="T1">
        <v>2021</v>
      </c>
      <c r="U1">
        <v>2022</v>
      </c>
      <c r="V1">
        <v>2023</v>
      </c>
      <c r="W1">
        <v>2024</v>
      </c>
      <c r="X1">
        <v>2025</v>
      </c>
      <c r="Y1">
        <v>2026</v>
      </c>
      <c r="Z1">
        <v>2027</v>
      </c>
      <c r="AA1">
        <v>2028</v>
      </c>
      <c r="AB1" t="s">
        <v>29</v>
      </c>
    </row>
    <row r="2" spans="1:29" x14ac:dyDescent="0.2">
      <c r="A2" t="s">
        <v>0</v>
      </c>
      <c r="B2" s="1" t="s">
        <v>20</v>
      </c>
      <c r="C2" s="18"/>
      <c r="D2" s="1" t="s">
        <v>20</v>
      </c>
      <c r="E2" s="18"/>
      <c r="F2" s="18"/>
      <c r="G2" s="18"/>
      <c r="H2" s="18"/>
      <c r="I2" s="18"/>
      <c r="J2" s="1" t="s">
        <v>20</v>
      </c>
      <c r="K2" s="18"/>
      <c r="L2" s="1" t="s">
        <v>20</v>
      </c>
      <c r="M2" s="18"/>
      <c r="N2" s="18"/>
      <c r="O2" s="18"/>
      <c r="P2" s="18"/>
      <c r="Q2" s="1" t="s">
        <v>20</v>
      </c>
      <c r="R2" s="19"/>
      <c r="S2" s="22"/>
      <c r="T2" s="18"/>
      <c r="U2" s="18"/>
      <c r="V2" s="1" t="s">
        <v>20</v>
      </c>
      <c r="W2" s="1"/>
      <c r="X2" s="1"/>
      <c r="Y2" s="1"/>
      <c r="Z2" s="1"/>
      <c r="AB2">
        <f t="shared" ref="AB2:AB22" si="0">COUNTIF(B2:AA2,"=x")</f>
        <v>6</v>
      </c>
    </row>
    <row r="3" spans="1:29" x14ac:dyDescent="0.2">
      <c r="A3" t="s">
        <v>11</v>
      </c>
      <c r="B3" s="2"/>
      <c r="C3" s="2"/>
      <c r="D3" s="2"/>
      <c r="E3" s="2"/>
      <c r="F3" s="1" t="s">
        <v>20</v>
      </c>
      <c r="G3" s="18"/>
      <c r="H3" s="18"/>
      <c r="I3" s="1" t="s">
        <v>20</v>
      </c>
      <c r="J3" s="18"/>
      <c r="K3" s="18"/>
      <c r="L3" s="18"/>
      <c r="M3" s="18"/>
      <c r="N3" s="18"/>
      <c r="O3" s="1" t="s">
        <v>20</v>
      </c>
      <c r="P3" s="18"/>
      <c r="Q3" s="18"/>
      <c r="R3" s="19"/>
      <c r="S3" s="22"/>
      <c r="T3" s="1" t="s">
        <v>20</v>
      </c>
      <c r="U3" s="18"/>
      <c r="V3" s="18"/>
      <c r="W3" s="18"/>
      <c r="X3" s="1" t="s">
        <v>20</v>
      </c>
      <c r="Y3" s="1" t="s">
        <v>20</v>
      </c>
      <c r="Z3" s="1"/>
      <c r="AB3">
        <f t="shared" si="0"/>
        <v>6</v>
      </c>
    </row>
    <row r="4" spans="1:29" x14ac:dyDescent="0.2">
      <c r="A4" t="s">
        <v>17</v>
      </c>
      <c r="B4" s="1" t="s">
        <v>20</v>
      </c>
      <c r="C4" s="18"/>
      <c r="D4" s="18"/>
      <c r="E4" s="18"/>
      <c r="F4" s="1" t="s">
        <v>20</v>
      </c>
      <c r="G4" s="21" t="s">
        <v>20</v>
      </c>
      <c r="H4" s="18"/>
      <c r="I4" s="18"/>
      <c r="J4" s="18"/>
      <c r="K4" s="1" t="s">
        <v>20</v>
      </c>
      <c r="L4" s="18"/>
      <c r="M4" s="18"/>
      <c r="N4" s="18"/>
      <c r="O4" s="18"/>
      <c r="P4" s="18"/>
      <c r="Q4" s="1" t="s">
        <v>20</v>
      </c>
      <c r="R4" s="19"/>
      <c r="S4" s="22"/>
      <c r="T4" s="18"/>
      <c r="U4" s="18"/>
      <c r="V4" s="1" t="s">
        <v>20</v>
      </c>
      <c r="W4" s="1"/>
      <c r="X4" s="1"/>
      <c r="Y4" s="1"/>
      <c r="Z4" s="1"/>
      <c r="AB4">
        <f t="shared" si="0"/>
        <v>6</v>
      </c>
    </row>
    <row r="5" spans="1:29" x14ac:dyDescent="0.2">
      <c r="A5" t="s">
        <v>7</v>
      </c>
      <c r="B5" s="2"/>
      <c r="C5" s="1" t="s">
        <v>20</v>
      </c>
      <c r="D5" s="18"/>
      <c r="E5" s="18"/>
      <c r="F5" s="18"/>
      <c r="G5" s="18"/>
      <c r="H5" s="1" t="s">
        <v>20</v>
      </c>
      <c r="I5" s="18"/>
      <c r="J5" s="18"/>
      <c r="K5" s="18"/>
      <c r="L5" s="18"/>
      <c r="M5" s="1" t="s">
        <v>20</v>
      </c>
      <c r="N5" s="18"/>
      <c r="O5" s="18"/>
      <c r="P5" s="18"/>
      <c r="Q5" s="18"/>
      <c r="R5" s="19"/>
      <c r="S5" s="23" t="s">
        <v>20</v>
      </c>
      <c r="T5" s="18"/>
      <c r="U5" s="18"/>
      <c r="V5" s="18"/>
      <c r="W5" s="18"/>
      <c r="X5" s="1" t="s">
        <v>20</v>
      </c>
      <c r="Y5" s="1"/>
      <c r="Z5" s="1"/>
      <c r="AB5">
        <f t="shared" si="0"/>
        <v>5</v>
      </c>
    </row>
    <row r="6" spans="1:29" x14ac:dyDescent="0.2">
      <c r="A6" t="s">
        <v>9</v>
      </c>
      <c r="B6" s="1" t="s">
        <v>20</v>
      </c>
      <c r="C6" s="18"/>
      <c r="D6" s="18"/>
      <c r="E6" s="1" t="s">
        <v>20</v>
      </c>
      <c r="F6" s="18"/>
      <c r="G6" s="18"/>
      <c r="H6" s="18"/>
      <c r="I6" s="18"/>
      <c r="J6" s="18"/>
      <c r="K6" s="1" t="s">
        <v>20</v>
      </c>
      <c r="L6" s="16"/>
      <c r="M6" s="16"/>
      <c r="N6" s="16"/>
      <c r="O6" s="16"/>
      <c r="P6" s="16"/>
      <c r="Q6" s="16"/>
      <c r="R6" s="20"/>
      <c r="S6" s="23" t="s">
        <v>20</v>
      </c>
      <c r="T6" s="18"/>
      <c r="U6" s="18"/>
      <c r="V6" s="18"/>
      <c r="W6" s="18"/>
      <c r="X6" s="1" t="s">
        <v>20</v>
      </c>
      <c r="Y6" s="1"/>
      <c r="Z6" s="1"/>
      <c r="AB6">
        <f t="shared" si="0"/>
        <v>5</v>
      </c>
    </row>
    <row r="7" spans="1:29" x14ac:dyDescent="0.2">
      <c r="A7" t="s">
        <v>16</v>
      </c>
      <c r="B7" s="1" t="s">
        <v>20</v>
      </c>
      <c r="C7" s="16"/>
      <c r="D7" s="16"/>
      <c r="E7" s="16"/>
      <c r="F7" s="16"/>
      <c r="G7" s="16"/>
      <c r="H7" s="16"/>
      <c r="I7" s="16"/>
      <c r="J7" s="1" t="s">
        <v>20</v>
      </c>
      <c r="K7" s="18"/>
      <c r="L7" s="18"/>
      <c r="M7" s="18"/>
      <c r="N7" s="18"/>
      <c r="O7" s="1" t="s">
        <v>20</v>
      </c>
      <c r="P7" s="18"/>
      <c r="Q7" s="18"/>
      <c r="R7" s="19"/>
      <c r="S7" s="22"/>
      <c r="T7" s="1" t="s">
        <v>20</v>
      </c>
      <c r="U7" s="18"/>
      <c r="V7" s="18"/>
      <c r="W7" s="1" t="s">
        <v>20</v>
      </c>
      <c r="X7" s="1"/>
      <c r="Y7" s="1"/>
      <c r="Z7" s="1"/>
      <c r="AB7">
        <f t="shared" si="0"/>
        <v>5</v>
      </c>
    </row>
    <row r="8" spans="1:29" x14ac:dyDescent="0.2">
      <c r="A8" t="s">
        <v>3</v>
      </c>
      <c r="B8" s="2"/>
      <c r="C8" s="2"/>
      <c r="D8" s="2"/>
      <c r="E8" s="1" t="s">
        <v>20</v>
      </c>
      <c r="F8" s="16"/>
      <c r="G8" s="16"/>
      <c r="H8" s="16"/>
      <c r="I8" s="16"/>
      <c r="J8" s="16"/>
      <c r="K8" s="16"/>
      <c r="L8" s="16"/>
      <c r="M8" s="1" t="s">
        <v>20</v>
      </c>
      <c r="N8" s="16"/>
      <c r="O8" s="16"/>
      <c r="P8" s="16"/>
      <c r="Q8" s="16"/>
      <c r="R8" s="20"/>
      <c r="S8" s="24"/>
      <c r="T8" s="1" t="s">
        <v>20</v>
      </c>
      <c r="U8" s="18"/>
      <c r="V8" s="18"/>
      <c r="W8" s="18"/>
      <c r="X8" s="1" t="s">
        <v>20</v>
      </c>
      <c r="Y8" s="1"/>
      <c r="Z8" s="1"/>
      <c r="AB8">
        <f t="shared" si="0"/>
        <v>4</v>
      </c>
      <c r="AC8" s="15" t="s">
        <v>26</v>
      </c>
    </row>
    <row r="9" spans="1:29" x14ac:dyDescent="0.2">
      <c r="A9" t="s">
        <v>13</v>
      </c>
      <c r="B9" s="1" t="s">
        <v>20</v>
      </c>
      <c r="C9" s="16"/>
      <c r="D9" s="16"/>
      <c r="E9" s="16"/>
      <c r="F9" s="16"/>
      <c r="G9" s="16"/>
      <c r="H9" s="16"/>
      <c r="I9" s="16"/>
      <c r="J9" s="16"/>
      <c r="K9" s="16"/>
      <c r="L9" s="1" t="s">
        <v>20</v>
      </c>
      <c r="M9" s="16"/>
      <c r="N9" s="16"/>
      <c r="O9" s="16"/>
      <c r="P9" s="16"/>
      <c r="Q9" s="16"/>
      <c r="R9" s="20"/>
      <c r="S9" s="23" t="s">
        <v>20</v>
      </c>
      <c r="T9" s="18"/>
      <c r="U9" s="18"/>
      <c r="V9" s="18"/>
      <c r="W9" s="18"/>
      <c r="X9" s="1" t="s">
        <v>20</v>
      </c>
      <c r="Y9" s="1"/>
      <c r="Z9" s="1"/>
      <c r="AB9">
        <f t="shared" si="0"/>
        <v>4</v>
      </c>
      <c r="AC9" s="17" t="s">
        <v>25</v>
      </c>
    </row>
    <row r="10" spans="1:29" x14ac:dyDescent="0.2">
      <c r="A10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1" t="s">
        <v>20</v>
      </c>
      <c r="M10" s="18"/>
      <c r="N10" s="18"/>
      <c r="O10" s="18"/>
      <c r="P10" s="1" t="s">
        <v>20</v>
      </c>
      <c r="Q10" s="16"/>
      <c r="R10" s="20"/>
      <c r="S10" s="24"/>
      <c r="T10" s="16"/>
      <c r="U10" s="16"/>
      <c r="V10" s="16"/>
      <c r="W10" s="1" t="s">
        <v>20</v>
      </c>
      <c r="X10" s="1"/>
      <c r="Y10" s="1"/>
      <c r="Z10" s="1"/>
      <c r="AB10">
        <f t="shared" si="0"/>
        <v>3</v>
      </c>
    </row>
    <row r="11" spans="1:29" x14ac:dyDescent="0.2">
      <c r="A11" t="s">
        <v>21</v>
      </c>
      <c r="B11" s="1"/>
      <c r="C11" s="1" t="s">
        <v>20</v>
      </c>
      <c r="D11" s="16"/>
      <c r="E11" s="16"/>
      <c r="F11" s="16"/>
      <c r="G11" s="16"/>
      <c r="H11" s="16"/>
      <c r="I11" s="16"/>
      <c r="J11" s="1" t="s">
        <v>20</v>
      </c>
      <c r="K11" s="18"/>
      <c r="L11" s="18"/>
      <c r="M11" s="18"/>
      <c r="N11" s="18"/>
      <c r="O11" s="1" t="s">
        <v>20</v>
      </c>
      <c r="P11" s="16"/>
      <c r="Q11" s="16"/>
      <c r="R11" s="20"/>
      <c r="S11" s="24"/>
      <c r="T11" s="16"/>
      <c r="U11" s="16"/>
      <c r="V11" s="16"/>
      <c r="W11" s="16"/>
      <c r="X11" s="16"/>
      <c r="Y11" s="1"/>
      <c r="Z11" s="1"/>
      <c r="AB11">
        <f t="shared" si="0"/>
        <v>3</v>
      </c>
    </row>
    <row r="12" spans="1:29" x14ac:dyDescent="0.2">
      <c r="A12" t="s">
        <v>5</v>
      </c>
      <c r="B12" s="2"/>
      <c r="C12" s="2"/>
      <c r="D12" s="2"/>
      <c r="E12" s="2"/>
      <c r="F12" s="1" t="s">
        <v>20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0"/>
      <c r="S12" s="23" t="s">
        <v>20</v>
      </c>
      <c r="T12" s="16"/>
      <c r="U12" s="16"/>
      <c r="V12" s="16"/>
      <c r="W12" s="16"/>
      <c r="X12" s="16"/>
      <c r="Y12" s="16"/>
      <c r="Z12" s="1" t="s">
        <v>20</v>
      </c>
      <c r="AB12">
        <f t="shared" si="0"/>
        <v>3</v>
      </c>
    </row>
    <row r="13" spans="1:29" x14ac:dyDescent="0.2">
      <c r="A13" t="s">
        <v>8</v>
      </c>
      <c r="B13" s="2"/>
      <c r="C13" s="2"/>
      <c r="D13" s="2"/>
      <c r="E13" s="2"/>
      <c r="F13" s="1" t="s">
        <v>20</v>
      </c>
      <c r="G13" s="16"/>
      <c r="H13" s="16"/>
      <c r="I13" s="16"/>
      <c r="J13" s="16"/>
      <c r="K13" s="16"/>
      <c r="L13" s="16"/>
      <c r="M13" s="1" t="s">
        <v>20</v>
      </c>
      <c r="N13" s="16"/>
      <c r="O13" s="16"/>
      <c r="P13" s="16"/>
      <c r="Q13" s="16"/>
      <c r="R13" s="20"/>
      <c r="S13" s="24"/>
      <c r="T13" s="16"/>
      <c r="U13" s="16"/>
      <c r="V13" s="1" t="s">
        <v>20</v>
      </c>
      <c r="W13" s="1"/>
      <c r="X13" s="1"/>
      <c r="Y13" s="1"/>
      <c r="Z13" s="1"/>
      <c r="AB13">
        <f t="shared" si="0"/>
        <v>3</v>
      </c>
    </row>
    <row r="14" spans="1:29" x14ac:dyDescent="0.2">
      <c r="A14" t="s">
        <v>10</v>
      </c>
      <c r="B14" s="2"/>
      <c r="C14" s="2"/>
      <c r="D14" s="2"/>
      <c r="E14" s="2"/>
      <c r="F14" s="2"/>
      <c r="G14" s="2"/>
      <c r="H14" s="2"/>
      <c r="I14" s="1" t="s">
        <v>20</v>
      </c>
      <c r="J14" s="16"/>
      <c r="K14" s="16"/>
      <c r="L14" s="16"/>
      <c r="M14" s="16"/>
      <c r="N14" s="16"/>
      <c r="O14" s="16"/>
      <c r="P14" s="1" t="s">
        <v>20</v>
      </c>
      <c r="Q14" s="18"/>
      <c r="R14" s="19"/>
      <c r="S14" s="22"/>
      <c r="T14" s="18"/>
      <c r="U14" s="18"/>
      <c r="V14" s="1" t="s">
        <v>20</v>
      </c>
      <c r="W14" s="1"/>
      <c r="X14" s="1"/>
      <c r="Y14" s="1"/>
      <c r="Z14" s="1"/>
      <c r="AB14">
        <f t="shared" si="0"/>
        <v>3</v>
      </c>
    </row>
    <row r="15" spans="1:29" x14ac:dyDescent="0.2">
      <c r="A15" t="s">
        <v>14</v>
      </c>
      <c r="B15" s="2"/>
      <c r="C15" s="2"/>
      <c r="D15" s="2"/>
      <c r="E15" s="2"/>
      <c r="F15" s="2"/>
      <c r="G15" s="1" t="s">
        <v>20</v>
      </c>
      <c r="H15" s="18"/>
      <c r="I15" s="18"/>
      <c r="J15" s="18"/>
      <c r="K15" s="1" t="s">
        <v>20</v>
      </c>
      <c r="L15" s="16"/>
      <c r="M15" s="16"/>
      <c r="N15" s="16"/>
      <c r="O15" s="16"/>
      <c r="P15" s="16"/>
      <c r="Q15" s="16"/>
      <c r="R15" s="20"/>
      <c r="S15" s="24"/>
      <c r="T15" s="16"/>
      <c r="U15" s="1" t="s">
        <v>20</v>
      </c>
      <c r="V15" s="1"/>
      <c r="W15" s="1"/>
      <c r="X15" s="1"/>
      <c r="Y15" s="1"/>
      <c r="Z15" s="1"/>
      <c r="AB15">
        <f t="shared" si="0"/>
        <v>3</v>
      </c>
    </row>
    <row r="16" spans="1:29" x14ac:dyDescent="0.2">
      <c r="A16" t="s">
        <v>18</v>
      </c>
      <c r="B16" s="1" t="s">
        <v>20</v>
      </c>
      <c r="C16" s="16"/>
      <c r="D16" s="16"/>
      <c r="E16" s="16"/>
      <c r="F16" s="16"/>
      <c r="G16" s="16"/>
      <c r="H16" s="16"/>
      <c r="I16" s="16"/>
      <c r="J16" s="16"/>
      <c r="K16" s="1" t="s">
        <v>20</v>
      </c>
      <c r="L16" s="16"/>
      <c r="M16" s="16"/>
      <c r="N16" s="16"/>
      <c r="O16" s="16"/>
      <c r="P16" s="16"/>
      <c r="Q16" s="16"/>
      <c r="R16" s="20"/>
      <c r="S16" s="23" t="s">
        <v>20</v>
      </c>
      <c r="T16" s="1"/>
      <c r="U16" s="1"/>
      <c r="V16" s="1"/>
      <c r="W16" s="1"/>
      <c r="X16" s="1"/>
      <c r="Y16" s="1"/>
      <c r="Z16" s="1"/>
      <c r="AB16">
        <f t="shared" si="0"/>
        <v>3</v>
      </c>
    </row>
    <row r="17" spans="1:28" x14ac:dyDescent="0.2">
      <c r="A17" t="s">
        <v>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 t="s">
        <v>22</v>
      </c>
      <c r="P17" s="2"/>
      <c r="Q17" s="2"/>
      <c r="R17" s="4"/>
      <c r="S17" s="25"/>
      <c r="T17" s="2"/>
      <c r="U17" s="2"/>
      <c r="V17" s="1" t="s">
        <v>20</v>
      </c>
      <c r="W17" s="1" t="s">
        <v>20</v>
      </c>
      <c r="X17" s="1"/>
      <c r="Y17" s="1"/>
      <c r="Z17" s="1"/>
      <c r="AB17">
        <f t="shared" si="0"/>
        <v>2</v>
      </c>
    </row>
    <row r="18" spans="1:28" x14ac:dyDescent="0.2">
      <c r="A18" t="s">
        <v>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" t="s">
        <v>20</v>
      </c>
      <c r="N18" s="16"/>
      <c r="O18" s="16"/>
      <c r="P18" s="16"/>
      <c r="Q18" s="16"/>
      <c r="R18" s="20"/>
      <c r="S18" s="24"/>
      <c r="T18" s="16"/>
      <c r="U18" s="16"/>
      <c r="V18" s="16"/>
      <c r="W18" s="16"/>
      <c r="X18" s="1" t="s">
        <v>20</v>
      </c>
      <c r="Y18" s="1"/>
      <c r="Z18" s="1"/>
      <c r="AB18">
        <f t="shared" si="0"/>
        <v>2</v>
      </c>
    </row>
    <row r="19" spans="1:28" x14ac:dyDescent="0.2">
      <c r="A19" t="s"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4"/>
      <c r="S19" s="25"/>
      <c r="T19" s="1" t="s">
        <v>20</v>
      </c>
      <c r="U19" s="1" t="s">
        <v>20</v>
      </c>
      <c r="V19" s="1"/>
      <c r="W19" s="1"/>
      <c r="X19" s="1"/>
      <c r="Y19" s="1"/>
      <c r="Z19" s="1"/>
      <c r="AB19">
        <f t="shared" si="0"/>
        <v>2</v>
      </c>
    </row>
    <row r="20" spans="1:28" x14ac:dyDescent="0.2">
      <c r="A20" t="s">
        <v>15</v>
      </c>
      <c r="B20" s="2"/>
      <c r="C20" s="2"/>
      <c r="D20" s="1" t="s">
        <v>20</v>
      </c>
      <c r="E20" s="18"/>
      <c r="F20" s="18"/>
      <c r="G20" s="18"/>
      <c r="H20" s="18"/>
      <c r="I20" s="1" t="s">
        <v>20</v>
      </c>
      <c r="J20" s="16"/>
      <c r="K20" s="16"/>
      <c r="L20" s="16"/>
      <c r="M20" s="16"/>
      <c r="N20" s="16"/>
      <c r="O20" s="16"/>
      <c r="P20" s="16"/>
      <c r="Q20" s="16"/>
      <c r="R20" s="20"/>
      <c r="S20" s="24"/>
      <c r="T20" s="16"/>
      <c r="U20" s="16"/>
      <c r="V20" s="16"/>
      <c r="W20" s="16"/>
      <c r="X20" s="1"/>
      <c r="Y20" s="1"/>
      <c r="Z20" s="1"/>
      <c r="AB20">
        <f t="shared" si="0"/>
        <v>2</v>
      </c>
    </row>
    <row r="21" spans="1:28" x14ac:dyDescent="0.2">
      <c r="A21" t="s">
        <v>1</v>
      </c>
      <c r="B21" s="2"/>
      <c r="C21" s="2"/>
      <c r="D21" s="2"/>
      <c r="E21" s="2"/>
      <c r="F21" s="2"/>
      <c r="G21" s="2"/>
      <c r="H21" s="2"/>
      <c r="I21" s="2" t="s">
        <v>20</v>
      </c>
      <c r="J21" s="18"/>
      <c r="K21" s="18"/>
      <c r="L21" s="18"/>
      <c r="M21" s="18"/>
      <c r="N21" s="2" t="s">
        <v>22</v>
      </c>
      <c r="O21" s="2"/>
      <c r="P21" s="2"/>
      <c r="Q21" s="2"/>
      <c r="R21" s="4"/>
      <c r="S21" s="25"/>
      <c r="T21" s="2"/>
      <c r="U21" s="2"/>
      <c r="V21" s="2"/>
      <c r="W21" s="2"/>
      <c r="X21" s="2"/>
      <c r="Y21" s="2"/>
      <c r="Z21" s="2"/>
      <c r="AA21" s="3"/>
      <c r="AB21">
        <f t="shared" si="0"/>
        <v>1</v>
      </c>
    </row>
    <row r="22" spans="1:28" x14ac:dyDescent="0.2">
      <c r="A2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4"/>
      <c r="S22" s="25"/>
      <c r="T22" s="2"/>
      <c r="U22" s="2"/>
      <c r="V22" s="2"/>
      <c r="W22" s="2"/>
      <c r="X22" s="2"/>
      <c r="Y22" s="2"/>
      <c r="Z22" s="1" t="s">
        <v>20</v>
      </c>
      <c r="AB22">
        <f t="shared" si="0"/>
        <v>1</v>
      </c>
    </row>
    <row r="23" spans="1:28" x14ac:dyDescent="0.2">
      <c r="A23" t="s">
        <v>28</v>
      </c>
      <c r="B23">
        <f>COUNTIF(B2:B22,"=x")</f>
        <v>6</v>
      </c>
      <c r="C23">
        <f t="shared" ref="C23:X23" si="1">COUNTIF(C2:C22,"=x")</f>
        <v>2</v>
      </c>
      <c r="D23">
        <f t="shared" si="1"/>
        <v>2</v>
      </c>
      <c r="E23">
        <f t="shared" si="1"/>
        <v>2</v>
      </c>
      <c r="F23">
        <f t="shared" si="1"/>
        <v>4</v>
      </c>
      <c r="G23">
        <f t="shared" si="1"/>
        <v>2</v>
      </c>
      <c r="H23">
        <f t="shared" si="1"/>
        <v>1</v>
      </c>
      <c r="I23">
        <f t="shared" si="1"/>
        <v>4</v>
      </c>
      <c r="J23">
        <f t="shared" si="1"/>
        <v>3</v>
      </c>
      <c r="K23">
        <f t="shared" si="1"/>
        <v>4</v>
      </c>
      <c r="L23">
        <f t="shared" si="1"/>
        <v>3</v>
      </c>
      <c r="M23">
        <f t="shared" si="1"/>
        <v>4</v>
      </c>
      <c r="N23">
        <f t="shared" si="1"/>
        <v>0</v>
      </c>
      <c r="O23">
        <f t="shared" si="1"/>
        <v>3</v>
      </c>
      <c r="P23">
        <f t="shared" si="1"/>
        <v>2</v>
      </c>
      <c r="Q23">
        <f t="shared" si="1"/>
        <v>2</v>
      </c>
      <c r="R23">
        <f t="shared" si="1"/>
        <v>0</v>
      </c>
      <c r="S23">
        <f t="shared" si="1"/>
        <v>5</v>
      </c>
      <c r="T23">
        <f t="shared" si="1"/>
        <v>4</v>
      </c>
      <c r="U23">
        <f t="shared" si="1"/>
        <v>2</v>
      </c>
      <c r="V23">
        <f t="shared" si="1"/>
        <v>5</v>
      </c>
      <c r="W23">
        <f t="shared" si="1"/>
        <v>3</v>
      </c>
      <c r="X23">
        <f t="shared" si="1"/>
        <v>6</v>
      </c>
    </row>
    <row r="25" spans="1:28" x14ac:dyDescent="0.2">
      <c r="G25">
        <f>5/16</f>
        <v>0.3125</v>
      </c>
      <c r="N25">
        <f>4/6</f>
        <v>0.66666666666666663</v>
      </c>
    </row>
  </sheetData>
  <sortState ref="A2:AB22">
    <sortCondition descending="1" ref="AB2:AB22"/>
  </sortState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 Collier</dc:creator>
  <cp:lastModifiedBy>Bi, Rujia</cp:lastModifiedBy>
  <dcterms:created xsi:type="dcterms:W3CDTF">2021-11-04T12:56:10Z</dcterms:created>
  <dcterms:modified xsi:type="dcterms:W3CDTF">2021-11-08T16:12:44Z</dcterms:modified>
</cp:coreProperties>
</file>