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jiabi/Desktop/Climate_Stock/Bi_Code/B_F_OFL_dist/Models/Analyses_from_Models_base/"/>
    </mc:Choice>
  </mc:AlternateContent>
  <xr:revisionPtr revIDLastSave="0" documentId="13_ncr:1_{5FC5102F-9B03-3F4A-BA74-7DB48AA305EE}" xr6:coauthVersionLast="36" xr6:coauthVersionMax="36" xr10:uidLastSave="{00000000-0000-0000-0000-000000000000}"/>
  <bookViews>
    <workbookView xWindow="3220" yWindow="7500" windowWidth="26080" windowHeight="15740" xr2:uid="{83CB7AA5-3AAB-084D-90E0-376F2AD461A1}"/>
  </bookViews>
  <sheets>
    <sheet name="B" sheetId="1" r:id="rId1"/>
    <sheet name="Sheet1" sheetId="8" r:id="rId2"/>
    <sheet name="F" sheetId="2" r:id="rId3"/>
    <sheet name="Bmsy" sheetId="3" r:id="rId4"/>
    <sheet name="Fmsy" sheetId="4" r:id="rId5"/>
    <sheet name="B_by_Bmsy" sheetId="5" r:id="rId6"/>
    <sheet name="F_by_Fmsy" sheetId="6" r:id="rId7"/>
    <sheet name="OFL" sheetId="7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6" l="1"/>
  <c r="G4" i="6"/>
  <c r="G5" i="6"/>
  <c r="G3" i="6"/>
  <c r="F2" i="6"/>
  <c r="F4" i="6"/>
  <c r="F5" i="6"/>
  <c r="F3" i="6"/>
  <c r="E2" i="6"/>
  <c r="E4" i="6"/>
  <c r="E5" i="6"/>
  <c r="E3" i="6"/>
  <c r="K8" i="8"/>
  <c r="K3" i="8"/>
  <c r="K4" i="8"/>
  <c r="K5" i="8"/>
  <c r="K6" i="8"/>
  <c r="K7" i="8"/>
  <c r="J3" i="8"/>
  <c r="J4" i="8"/>
  <c r="J5" i="8"/>
  <c r="J6" i="8"/>
  <c r="J7" i="8"/>
  <c r="J8" i="8"/>
  <c r="J2" i="8"/>
  <c r="K2" i="8"/>
  <c r="I3" i="8"/>
  <c r="I4" i="8"/>
  <c r="I5" i="8"/>
  <c r="I6" i="8"/>
  <c r="I7" i="8"/>
  <c r="I8" i="8"/>
  <c r="I2" i="8"/>
  <c r="G4" i="7" l="1"/>
  <c r="G3" i="7"/>
  <c r="G2" i="7"/>
  <c r="G5" i="7"/>
  <c r="F4" i="7"/>
  <c r="F3" i="7"/>
  <c r="F2" i="7"/>
  <c r="F5" i="7"/>
  <c r="E4" i="7"/>
  <c r="E3" i="7"/>
  <c r="E2" i="7"/>
  <c r="E5" i="7"/>
  <c r="G3" i="5"/>
  <c r="G4" i="5"/>
  <c r="G2" i="5"/>
  <c r="G5" i="5"/>
  <c r="F3" i="5"/>
  <c r="F4" i="5"/>
  <c r="F2" i="5"/>
  <c r="F5" i="5"/>
  <c r="E3" i="5"/>
  <c r="E4" i="5"/>
  <c r="E2" i="5"/>
  <c r="E5" i="5"/>
  <c r="E3" i="4"/>
  <c r="E2" i="4"/>
  <c r="G4" i="4"/>
  <c r="G2" i="4"/>
  <c r="G3" i="4"/>
  <c r="G5" i="4"/>
  <c r="F4" i="4"/>
  <c r="F2" i="4"/>
  <c r="F3" i="4"/>
  <c r="F5" i="4"/>
  <c r="E4" i="4"/>
  <c r="E5" i="4"/>
  <c r="G4" i="3"/>
  <c r="G2" i="3"/>
  <c r="G3" i="3"/>
  <c r="G5" i="3"/>
  <c r="F4" i="3"/>
  <c r="F2" i="3"/>
  <c r="F3" i="3"/>
  <c r="F5" i="3"/>
  <c r="E4" i="3"/>
  <c r="E2" i="3"/>
  <c r="E3" i="3"/>
  <c r="E5" i="3"/>
  <c r="G4" i="2"/>
  <c r="G2" i="2"/>
  <c r="G3" i="2"/>
  <c r="G5" i="2"/>
  <c r="F4" i="2"/>
  <c r="F2" i="2"/>
  <c r="F3" i="2"/>
  <c r="F5" i="2"/>
  <c r="E4" i="2"/>
  <c r="E2" i="2"/>
  <c r="E3" i="2"/>
  <c r="E5" i="2"/>
  <c r="E4" i="1"/>
  <c r="E2" i="1"/>
  <c r="E3" i="1"/>
  <c r="E5" i="1"/>
  <c r="G4" i="1"/>
  <c r="G2" i="1"/>
  <c r="G3" i="1"/>
  <c r="G5" i="1"/>
  <c r="F4" i="1"/>
  <c r="F2" i="1"/>
  <c r="F3" i="1"/>
  <c r="F5" i="1"/>
</calcChain>
</file>

<file path=xl/sharedStrings.xml><?xml version="1.0" encoding="utf-8"?>
<sst xmlns="http://schemas.openxmlformats.org/spreadsheetml/2006/main" count="102" uniqueCount="26">
  <si>
    <t>1_Common CV</t>
  </si>
  <si>
    <t>2_CV|Region</t>
  </si>
  <si>
    <t>3_CV|Region/Period</t>
  </si>
  <si>
    <t>4_CV|Region/Period_constant</t>
  </si>
  <si>
    <t>Model</t>
  </si>
  <si>
    <t>DIC</t>
  </si>
  <si>
    <t>delta_DIC</t>
  </si>
  <si>
    <t>WAIC</t>
  </si>
  <si>
    <t>LOO</t>
  </si>
  <si>
    <t>delta_WAIC</t>
  </si>
  <si>
    <t>delta_LOO</t>
  </si>
  <si>
    <t>Global mean CV (%)</t>
  </si>
  <si>
    <t>39 (29, 52)</t>
  </si>
  <si>
    <t>41 (31, 54)</t>
  </si>
  <si>
    <r>
      <t>46 (</t>
    </r>
    <r>
      <rPr>
        <sz val="11"/>
        <color theme="1"/>
        <rFont val="Calibri"/>
        <family val="2"/>
        <scheme val="minor"/>
      </rPr>
      <t>36, 59</t>
    </r>
    <r>
      <rPr>
        <sz val="11"/>
        <color rgb="FF000000"/>
        <rFont val="Calibri"/>
        <family val="2"/>
        <scheme val="minor"/>
      </rPr>
      <t>)</t>
    </r>
  </si>
  <si>
    <t>48 (39, 61)</t>
  </si>
  <si>
    <t>31 (21, 49)</t>
  </si>
  <si>
    <t>33 (22, 47)</t>
  </si>
  <si>
    <t>23 (14, 38)</t>
  </si>
  <si>
    <t>22 (12, 41)</t>
  </si>
  <si>
    <t>25 (18, 35)</t>
  </si>
  <si>
    <t>28 (20, 39)</t>
  </si>
  <si>
    <t>43 (29, 64)</t>
  </si>
  <si>
    <t>46 (31, 64)</t>
  </si>
  <si>
    <t>45 (31, 69)</t>
  </si>
  <si>
    <t>49 (34, 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</si>
</sst>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0" fontId="0" fillId="0" borderId="0" xfId="0" applyFill="1"/>
    <xf numFmtId="2" fontId="1" fillId="0" borderId="0" xfId="0" applyNumberFormat="1" applyFont="1"/>
    <xf numFmtId="2" fontId="1" fillId="0" borderId="0" xfId="0" applyNumberFormat="1" applyFont="1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E9EA-4FB0-DA4C-BC51-E0F55A5AB110}">
  <dimension ref="A1:K5"/>
  <sheetViews>
    <sheetView tabSelected="1" workbookViewId="0">
      <selection activeCell="E2" sqref="E2:G5"/>
    </sheetView>
  </sheetViews>
  <sheetFormatPr baseColWidth="10" defaultRowHeight="16" x14ac:dyDescent="0.2"/>
  <cols>
    <col min="1" max="1" width="27.83203125" customWidth="1"/>
    <col min="2" max="2" width="13.6640625" customWidth="1"/>
    <col min="3" max="4" width="10.83203125" style="2"/>
    <col min="5" max="7" width="10.83203125" style="12"/>
  </cols>
  <sheetData>
    <row r="1" spans="1:11" x14ac:dyDescent="0.2">
      <c r="A1" t="s">
        <v>4</v>
      </c>
      <c r="B1" t="s">
        <v>5</v>
      </c>
      <c r="C1" s="2" t="s">
        <v>7</v>
      </c>
      <c r="D1" s="2" t="s">
        <v>8</v>
      </c>
      <c r="E1" s="12" t="s">
        <v>6</v>
      </c>
      <c r="F1" s="12" t="s">
        <v>9</v>
      </c>
      <c r="G1" s="12" t="s">
        <v>10</v>
      </c>
      <c r="I1" t="s">
        <v>5</v>
      </c>
      <c r="J1" s="2" t="s">
        <v>7</v>
      </c>
      <c r="K1" s="2" t="s">
        <v>8</v>
      </c>
    </row>
    <row r="2" spans="1:11" x14ac:dyDescent="0.2">
      <c r="A2" s="7" t="s">
        <v>2</v>
      </c>
      <c r="B2" s="1">
        <v>58302.42</v>
      </c>
      <c r="C2" s="2">
        <v>92.4</v>
      </c>
      <c r="D2" s="2">
        <v>213.9</v>
      </c>
      <c r="E2" s="12">
        <f>B2-58302.42</f>
        <v>0</v>
      </c>
      <c r="F2" s="12">
        <f>C2-92.4</f>
        <v>0</v>
      </c>
      <c r="G2" s="12">
        <f>D2-213.9</f>
        <v>0</v>
      </c>
    </row>
    <row r="3" spans="1:11" x14ac:dyDescent="0.2">
      <c r="A3" s="3" t="s">
        <v>3</v>
      </c>
      <c r="B3" s="1">
        <v>58294.74</v>
      </c>
      <c r="C3" s="2">
        <v>114.2</v>
      </c>
      <c r="D3" s="2">
        <v>217.3</v>
      </c>
      <c r="E3" s="12">
        <f>B3-58302.42</f>
        <v>-7.680000000000291</v>
      </c>
      <c r="F3" s="12">
        <f>C3-92.4</f>
        <v>21.799999999999997</v>
      </c>
      <c r="G3" s="12">
        <f>D3-213.9</f>
        <v>3.4000000000000057</v>
      </c>
    </row>
    <row r="4" spans="1:11" x14ac:dyDescent="0.2">
      <c r="A4" t="s">
        <v>1</v>
      </c>
      <c r="B4" s="1">
        <v>58471.519999999997</v>
      </c>
      <c r="C4" s="2">
        <v>276.89999999999998</v>
      </c>
      <c r="D4" s="2">
        <v>388.3</v>
      </c>
      <c r="E4" s="12">
        <f>B4-58302.42</f>
        <v>169.09999999999854</v>
      </c>
      <c r="F4" s="12">
        <f>C4-92.4</f>
        <v>184.49999999999997</v>
      </c>
      <c r="G4" s="12">
        <f>D4-213.9</f>
        <v>174.4</v>
      </c>
      <c r="I4">
        <v>59721.15</v>
      </c>
      <c r="J4">
        <v>1612.4</v>
      </c>
      <c r="K4">
        <v>1624.1</v>
      </c>
    </row>
    <row r="5" spans="1:11" x14ac:dyDescent="0.2">
      <c r="A5" t="s">
        <v>0</v>
      </c>
      <c r="B5" s="1">
        <v>58971.61</v>
      </c>
      <c r="C5" s="2">
        <v>1045.5999999999999</v>
      </c>
      <c r="D5" s="2">
        <v>1145.5</v>
      </c>
      <c r="E5" s="12">
        <f>B5-58302.42</f>
        <v>669.19000000000233</v>
      </c>
      <c r="F5" s="12">
        <f>C5-92.4</f>
        <v>953.19999999999993</v>
      </c>
      <c r="G5" s="12">
        <f>D5-213.9</f>
        <v>931.6</v>
      </c>
    </row>
  </sheetData>
  <sortState ref="A2:G5">
    <sortCondition ref="F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64A3-6A67-744E-9234-9ACE128C4B72}">
  <dimension ref="A1:K8"/>
  <sheetViews>
    <sheetView workbookViewId="0">
      <selection activeCell="I2" sqref="I2:K8"/>
    </sheetView>
  </sheetViews>
  <sheetFormatPr baseColWidth="10" defaultRowHeight="16" x14ac:dyDescent="0.2"/>
  <sheetData>
    <row r="1" spans="1:11" ht="33" thickBot="1" x14ac:dyDescent="0.25">
      <c r="A1" s="8" t="s">
        <v>5</v>
      </c>
      <c r="B1" s="9" t="s">
        <v>7</v>
      </c>
      <c r="C1" s="9" t="s">
        <v>8</v>
      </c>
      <c r="D1" s="9" t="s">
        <v>11</v>
      </c>
      <c r="E1" s="9" t="s">
        <v>5</v>
      </c>
      <c r="F1" s="9" t="s">
        <v>7</v>
      </c>
      <c r="G1" s="9" t="s">
        <v>8</v>
      </c>
      <c r="H1" s="9" t="s">
        <v>11</v>
      </c>
    </row>
    <row r="2" spans="1:11" ht="17" thickBot="1" x14ac:dyDescent="0.25">
      <c r="A2" s="10">
        <v>58302</v>
      </c>
      <c r="B2" s="11">
        <v>92</v>
      </c>
      <c r="C2" s="11">
        <v>214</v>
      </c>
      <c r="D2" s="11" t="s">
        <v>12</v>
      </c>
      <c r="E2" s="11">
        <v>59694</v>
      </c>
      <c r="F2" s="11">
        <v>1596</v>
      </c>
      <c r="G2" s="11">
        <v>1619</v>
      </c>
      <c r="H2" s="11" t="s">
        <v>13</v>
      </c>
      <c r="I2">
        <f>E2-A2</f>
        <v>1392</v>
      </c>
      <c r="J2">
        <f t="shared" ref="J2:K8" si="0">F2-B2</f>
        <v>1504</v>
      </c>
      <c r="K2">
        <f t="shared" si="0"/>
        <v>1405</v>
      </c>
    </row>
    <row r="3" spans="1:11" ht="17" thickBot="1" x14ac:dyDescent="0.25">
      <c r="A3" s="10">
        <v>-8284</v>
      </c>
      <c r="B3" s="11">
        <v>656</v>
      </c>
      <c r="C3" s="11">
        <v>775</v>
      </c>
      <c r="D3" s="11" t="s">
        <v>14</v>
      </c>
      <c r="E3" s="11">
        <v>-6903</v>
      </c>
      <c r="F3" s="11">
        <v>2125</v>
      </c>
      <c r="G3" s="11">
        <v>2142</v>
      </c>
      <c r="H3" s="11" t="s">
        <v>15</v>
      </c>
      <c r="I3">
        <f t="shared" ref="I3:I8" si="1">E3-A3</f>
        <v>1381</v>
      </c>
      <c r="J3">
        <f t="shared" si="0"/>
        <v>1469</v>
      </c>
      <c r="K3">
        <f t="shared" si="0"/>
        <v>1367</v>
      </c>
    </row>
    <row r="4" spans="1:11" ht="17" thickBot="1" x14ac:dyDescent="0.25">
      <c r="A4" s="10">
        <v>42182</v>
      </c>
      <c r="B4" s="11">
        <v>-1533</v>
      </c>
      <c r="C4" s="11">
        <v>-1481</v>
      </c>
      <c r="D4" s="11" t="s">
        <v>16</v>
      </c>
      <c r="E4" s="11">
        <v>43535</v>
      </c>
      <c r="F4" s="11">
        <v>-93</v>
      </c>
      <c r="G4" s="11">
        <v>-78</v>
      </c>
      <c r="H4" s="11" t="s">
        <v>17</v>
      </c>
      <c r="I4">
        <f t="shared" si="1"/>
        <v>1353</v>
      </c>
      <c r="J4">
        <f t="shared" si="0"/>
        <v>1440</v>
      </c>
      <c r="K4">
        <f t="shared" si="0"/>
        <v>1403</v>
      </c>
    </row>
    <row r="5" spans="1:11" ht="17" thickBot="1" x14ac:dyDescent="0.25">
      <c r="A5" s="10">
        <v>-7785</v>
      </c>
      <c r="B5" s="11">
        <v>-2138</v>
      </c>
      <c r="C5" s="11">
        <v>-2086</v>
      </c>
      <c r="D5" s="11" t="s">
        <v>18</v>
      </c>
      <c r="E5" s="11">
        <v>-6707</v>
      </c>
      <c r="F5" s="11">
        <v>-913</v>
      </c>
      <c r="G5" s="11">
        <v>-896</v>
      </c>
      <c r="H5" s="11" t="s">
        <v>19</v>
      </c>
      <c r="I5">
        <f t="shared" si="1"/>
        <v>1078</v>
      </c>
      <c r="J5">
        <f t="shared" si="0"/>
        <v>1225</v>
      </c>
      <c r="K5">
        <f t="shared" si="0"/>
        <v>1190</v>
      </c>
    </row>
    <row r="6" spans="1:11" ht="17" thickBot="1" x14ac:dyDescent="0.25">
      <c r="A6" s="10">
        <v>86</v>
      </c>
      <c r="B6" s="11">
        <v>-626</v>
      </c>
      <c r="C6" s="11">
        <v>-567</v>
      </c>
      <c r="D6" s="11" t="s">
        <v>20</v>
      </c>
      <c r="E6" s="11">
        <v>1186</v>
      </c>
      <c r="F6" s="11">
        <v>548</v>
      </c>
      <c r="G6" s="11">
        <v>553</v>
      </c>
      <c r="H6" s="11" t="s">
        <v>21</v>
      </c>
      <c r="I6">
        <f t="shared" si="1"/>
        <v>1100</v>
      </c>
      <c r="J6">
        <f t="shared" si="0"/>
        <v>1174</v>
      </c>
      <c r="K6">
        <f t="shared" si="0"/>
        <v>1120</v>
      </c>
    </row>
    <row r="7" spans="1:11" ht="17" thickBot="1" x14ac:dyDescent="0.25">
      <c r="A7" s="10">
        <v>627</v>
      </c>
      <c r="B7" s="11">
        <v>697</v>
      </c>
      <c r="C7" s="11">
        <v>749</v>
      </c>
      <c r="D7" s="11" t="s">
        <v>22</v>
      </c>
      <c r="E7" s="11">
        <v>1848</v>
      </c>
      <c r="F7" s="11">
        <v>1923</v>
      </c>
      <c r="G7" s="11">
        <v>1927</v>
      </c>
      <c r="H7" s="11" t="s">
        <v>23</v>
      </c>
      <c r="I7">
        <f t="shared" si="1"/>
        <v>1221</v>
      </c>
      <c r="J7">
        <f t="shared" si="0"/>
        <v>1226</v>
      </c>
      <c r="K7">
        <f t="shared" si="0"/>
        <v>1178</v>
      </c>
    </row>
    <row r="8" spans="1:11" ht="17" thickBot="1" x14ac:dyDescent="0.25">
      <c r="A8" s="10">
        <v>41411</v>
      </c>
      <c r="B8" s="11">
        <v>357</v>
      </c>
      <c r="C8" s="11">
        <v>422</v>
      </c>
      <c r="D8" s="11" t="s">
        <v>24</v>
      </c>
      <c r="E8" s="11">
        <v>42599</v>
      </c>
      <c r="F8" s="11">
        <v>1608</v>
      </c>
      <c r="G8" s="11">
        <v>1613</v>
      </c>
      <c r="H8" s="11" t="s">
        <v>25</v>
      </c>
      <c r="I8">
        <f t="shared" si="1"/>
        <v>1188</v>
      </c>
      <c r="J8">
        <f t="shared" si="0"/>
        <v>1251</v>
      </c>
      <c r="K8">
        <f>G8-C8</f>
        <v>1191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F460-3EAE-AB48-8B9E-76070B96D205}">
  <dimension ref="A1:G5"/>
  <sheetViews>
    <sheetView workbookViewId="0">
      <selection activeCell="E2" sqref="E2:G5"/>
    </sheetView>
  </sheetViews>
  <sheetFormatPr baseColWidth="10" defaultRowHeight="16" x14ac:dyDescent="0.2"/>
  <cols>
    <col min="1" max="1" width="27.6640625" customWidth="1"/>
    <col min="2" max="4" width="10.83203125" style="2"/>
    <col min="5" max="7" width="10.83203125" style="12"/>
  </cols>
  <sheetData>
    <row r="1" spans="1:7" x14ac:dyDescent="0.2">
      <c r="A1" t="s">
        <v>4</v>
      </c>
      <c r="B1" s="2" t="s">
        <v>5</v>
      </c>
      <c r="C1" s="2" t="s">
        <v>7</v>
      </c>
      <c r="D1" s="2" t="s">
        <v>8</v>
      </c>
      <c r="E1" s="12" t="s">
        <v>6</v>
      </c>
      <c r="F1" s="12" t="s">
        <v>9</v>
      </c>
      <c r="G1" s="12" t="s">
        <v>10</v>
      </c>
    </row>
    <row r="2" spans="1:7" x14ac:dyDescent="0.2">
      <c r="A2" s="7" t="s">
        <v>2</v>
      </c>
      <c r="B2" s="2">
        <v>-8283.67</v>
      </c>
      <c r="C2" s="2">
        <v>656.4</v>
      </c>
      <c r="D2" s="2">
        <v>774.6</v>
      </c>
      <c r="E2" s="12">
        <f>B2-(-8283.67)</f>
        <v>0</v>
      </c>
      <c r="F2" s="12">
        <f>C2-656.4</f>
        <v>0</v>
      </c>
      <c r="G2" s="12">
        <f>D2-774.6</f>
        <v>0</v>
      </c>
    </row>
    <row r="3" spans="1:7" x14ac:dyDescent="0.2">
      <c r="A3" s="4" t="s">
        <v>3</v>
      </c>
      <c r="B3" s="2">
        <v>-8291.4490000000005</v>
      </c>
      <c r="C3" s="2">
        <v>673.8</v>
      </c>
      <c r="D3" s="2">
        <v>784.2</v>
      </c>
      <c r="E3" s="12">
        <f>B3-(-8283.67)</f>
        <v>-7.7790000000004511</v>
      </c>
      <c r="F3" s="12">
        <f>C3-656.4</f>
        <v>17.399999999999977</v>
      </c>
      <c r="G3" s="12">
        <f>D3-774.6</f>
        <v>9.6000000000000227</v>
      </c>
    </row>
    <row r="4" spans="1:7" x14ac:dyDescent="0.2">
      <c r="A4" t="s">
        <v>1</v>
      </c>
      <c r="B4" s="2">
        <v>-8248.1939999999995</v>
      </c>
      <c r="C4" s="2">
        <v>720.7</v>
      </c>
      <c r="D4" s="2">
        <v>831.7</v>
      </c>
      <c r="E4" s="12">
        <f>B4-(-8283.67)</f>
        <v>35.476000000000568</v>
      </c>
      <c r="F4" s="12">
        <f>C4-656.4</f>
        <v>64.300000000000068</v>
      </c>
      <c r="G4" s="12">
        <f>D4-774.6</f>
        <v>57.100000000000023</v>
      </c>
    </row>
    <row r="5" spans="1:7" x14ac:dyDescent="0.2">
      <c r="A5" t="s">
        <v>0</v>
      </c>
      <c r="B5" s="2">
        <v>-7836.6059999999998</v>
      </c>
      <c r="C5" s="2">
        <v>1374.8</v>
      </c>
      <c r="D5" s="2">
        <v>1506.2</v>
      </c>
      <c r="E5" s="12">
        <f>B5-(-8283.67)</f>
        <v>447.06400000000031</v>
      </c>
      <c r="F5" s="12">
        <f>C5-656.4</f>
        <v>718.4</v>
      </c>
      <c r="G5" s="12">
        <f>D5-774.6</f>
        <v>731.6</v>
      </c>
    </row>
  </sheetData>
  <sortState ref="A2:G5">
    <sortCondition ref="F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EE45-0716-6A49-B471-BF8317AA7509}">
  <dimension ref="A1:G5"/>
  <sheetViews>
    <sheetView workbookViewId="0">
      <selection activeCell="E2" sqref="E2:G5"/>
    </sheetView>
  </sheetViews>
  <sheetFormatPr baseColWidth="10" defaultRowHeight="16" x14ac:dyDescent="0.2"/>
  <cols>
    <col min="1" max="1" width="27.33203125" customWidth="1"/>
    <col min="2" max="2" width="14" style="2" customWidth="1"/>
    <col min="3" max="4" width="10.83203125" style="2"/>
    <col min="5" max="7" width="10.83203125" style="12"/>
  </cols>
  <sheetData>
    <row r="1" spans="1:7" x14ac:dyDescent="0.2">
      <c r="A1" t="s">
        <v>4</v>
      </c>
      <c r="B1" s="2" t="s">
        <v>5</v>
      </c>
      <c r="C1" s="2" t="s">
        <v>7</v>
      </c>
      <c r="D1" s="2" t="s">
        <v>8</v>
      </c>
      <c r="E1" s="12" t="s">
        <v>6</v>
      </c>
      <c r="F1" s="12" t="s">
        <v>9</v>
      </c>
      <c r="G1" s="12" t="s">
        <v>10</v>
      </c>
    </row>
    <row r="2" spans="1:7" x14ac:dyDescent="0.2">
      <c r="A2" s="7" t="s">
        <v>2</v>
      </c>
      <c r="B2" s="5">
        <v>42182.19</v>
      </c>
      <c r="C2" s="2">
        <v>-1532.6</v>
      </c>
      <c r="D2" s="2">
        <v>-1480.9</v>
      </c>
      <c r="E2" s="12">
        <f>B2-42182.19</f>
        <v>0</v>
      </c>
      <c r="F2" s="12">
        <f>C2-(-1532.6)</f>
        <v>0</v>
      </c>
      <c r="G2" s="12">
        <f>D2-(-1480.9)</f>
        <v>0</v>
      </c>
    </row>
    <row r="3" spans="1:7" x14ac:dyDescent="0.2">
      <c r="A3" s="3" t="s">
        <v>3</v>
      </c>
      <c r="B3" s="5">
        <v>42170.559999999998</v>
      </c>
      <c r="C3" s="2">
        <v>-1524.4</v>
      </c>
      <c r="D3" s="2">
        <v>-1479.5</v>
      </c>
      <c r="E3" s="12">
        <f>B3-42182.19</f>
        <v>-11.630000000004657</v>
      </c>
      <c r="F3" s="12">
        <f>C3-(-1532.6)</f>
        <v>8.1999999999998181</v>
      </c>
      <c r="G3" s="12">
        <f>D3-(-1480.9)</f>
        <v>1.4000000000000909</v>
      </c>
    </row>
    <row r="4" spans="1:7" x14ac:dyDescent="0.2">
      <c r="A4" t="s">
        <v>1</v>
      </c>
      <c r="B4" s="6">
        <v>42174.87</v>
      </c>
      <c r="C4" s="2">
        <v>-1516.4</v>
      </c>
      <c r="D4" s="2">
        <v>-1473.1</v>
      </c>
      <c r="E4" s="12">
        <f>B4-42182.19</f>
        <v>-7.319999999999709</v>
      </c>
      <c r="F4" s="12">
        <f>C4-(-1532.6)</f>
        <v>16.199999999999818</v>
      </c>
      <c r="G4" s="12">
        <f>D4-(-1480.9)</f>
        <v>7.8000000000001819</v>
      </c>
    </row>
    <row r="5" spans="1:7" x14ac:dyDescent="0.2">
      <c r="A5" t="s">
        <v>0</v>
      </c>
      <c r="B5" s="5">
        <v>42654.18</v>
      </c>
      <c r="C5" s="2">
        <v>-799.9</v>
      </c>
      <c r="D5" s="2">
        <v>-755.8</v>
      </c>
      <c r="E5" s="12">
        <f>B5-42182.19</f>
        <v>471.98999999999796</v>
      </c>
      <c r="F5" s="12">
        <f>C5-(-1532.6)</f>
        <v>732.69999999999993</v>
      </c>
      <c r="G5" s="12">
        <f>D5-(-1480.9)</f>
        <v>725.10000000000014</v>
      </c>
    </row>
  </sheetData>
  <sortState ref="A2:G5">
    <sortCondition ref="F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20EF-6538-CC42-8FBF-D86729061F50}">
  <dimension ref="A1:G5"/>
  <sheetViews>
    <sheetView workbookViewId="0">
      <selection activeCell="E2" sqref="E2:G5"/>
    </sheetView>
  </sheetViews>
  <sheetFormatPr baseColWidth="10" defaultRowHeight="16" x14ac:dyDescent="0.2"/>
  <cols>
    <col min="1" max="1" width="26.33203125" customWidth="1"/>
    <col min="2" max="4" width="10.83203125" style="2"/>
    <col min="5" max="7" width="10.83203125" style="12"/>
  </cols>
  <sheetData>
    <row r="1" spans="1:7" x14ac:dyDescent="0.2">
      <c r="A1" t="s">
        <v>4</v>
      </c>
      <c r="B1" s="2" t="s">
        <v>5</v>
      </c>
      <c r="C1" s="2" t="s">
        <v>7</v>
      </c>
      <c r="D1" s="2" t="s">
        <v>8</v>
      </c>
      <c r="E1" s="12" t="s">
        <v>6</v>
      </c>
      <c r="F1" s="12" t="s">
        <v>9</v>
      </c>
      <c r="G1" s="12" t="s">
        <v>10</v>
      </c>
    </row>
    <row r="2" spans="1:7" x14ac:dyDescent="0.2">
      <c r="A2" s="7" t="s">
        <v>2</v>
      </c>
      <c r="B2" s="5">
        <v>-7785.35</v>
      </c>
      <c r="C2" s="2">
        <v>-2137.8000000000002</v>
      </c>
      <c r="D2" s="2">
        <v>-2086.1</v>
      </c>
      <c r="E2" s="12">
        <f>B2-(-7785.35)</f>
        <v>0</v>
      </c>
      <c r="F2" s="12">
        <f>C2-(-2137.8)</f>
        <v>0</v>
      </c>
      <c r="G2" s="12">
        <f>D2-(-2086.1)</f>
        <v>0</v>
      </c>
    </row>
    <row r="3" spans="1:7" x14ac:dyDescent="0.2">
      <c r="A3" s="3" t="s">
        <v>3</v>
      </c>
      <c r="B3" s="5">
        <v>-7871.4390000000003</v>
      </c>
      <c r="C3" s="2">
        <v>-2119.5</v>
      </c>
      <c r="D3" s="2">
        <v>-2075.1</v>
      </c>
      <c r="E3" s="12">
        <f>B3-(-7785.35)</f>
        <v>-86.088999999999942</v>
      </c>
      <c r="F3" s="12">
        <f>C3-(-2137.8)</f>
        <v>18.300000000000182</v>
      </c>
      <c r="G3" s="12">
        <f>D3-(-2086.1)</f>
        <v>11</v>
      </c>
    </row>
    <row r="4" spans="1:7" x14ac:dyDescent="0.2">
      <c r="A4" t="s">
        <v>1</v>
      </c>
      <c r="B4" s="5">
        <v>-7715.4870000000001</v>
      </c>
      <c r="C4" s="2">
        <v>-2119.1</v>
      </c>
      <c r="D4" s="2">
        <v>-2074</v>
      </c>
      <c r="E4" s="12">
        <f>B4-(-7785.35)</f>
        <v>69.863000000000284</v>
      </c>
      <c r="F4" s="12">
        <f>C4-(-2137.8)</f>
        <v>18.700000000000273</v>
      </c>
      <c r="G4" s="12">
        <f>D4-(-2086.1)</f>
        <v>12.099999999999909</v>
      </c>
    </row>
    <row r="5" spans="1:7" x14ac:dyDescent="0.2">
      <c r="A5" t="s">
        <v>0</v>
      </c>
      <c r="B5" s="5">
        <v>-7674.4269999999997</v>
      </c>
      <c r="C5" s="2">
        <v>-1571.8</v>
      </c>
      <c r="D5" s="2">
        <v>-1532.7</v>
      </c>
      <c r="E5" s="12">
        <f>B5-(-7785.35)</f>
        <v>110.92300000000068</v>
      </c>
      <c r="F5" s="12">
        <f>C5-(-2137.8)</f>
        <v>566.00000000000023</v>
      </c>
      <c r="G5" s="12">
        <f>D5-(-2086.1)</f>
        <v>553.39999999999986</v>
      </c>
    </row>
  </sheetData>
  <sortState ref="A2:G5">
    <sortCondition ref="F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1A01-B93E-7B4B-A693-8098867E0913}">
  <dimension ref="A1:G5"/>
  <sheetViews>
    <sheetView workbookViewId="0">
      <selection activeCell="E2" sqref="E2:G5"/>
    </sheetView>
  </sheetViews>
  <sheetFormatPr baseColWidth="10" defaultRowHeight="16" x14ac:dyDescent="0.2"/>
  <cols>
    <col min="1" max="1" width="27.5" customWidth="1"/>
    <col min="2" max="4" width="10.83203125" style="2"/>
    <col min="5" max="7" width="10.83203125" style="12"/>
  </cols>
  <sheetData>
    <row r="1" spans="1:7" x14ac:dyDescent="0.2">
      <c r="A1" t="s">
        <v>4</v>
      </c>
      <c r="B1" s="2" t="s">
        <v>5</v>
      </c>
      <c r="C1" s="2" t="s">
        <v>7</v>
      </c>
      <c r="D1" s="2" t="s">
        <v>8</v>
      </c>
      <c r="E1" s="12" t="s">
        <v>6</v>
      </c>
      <c r="F1" s="12" t="s">
        <v>9</v>
      </c>
      <c r="G1" s="12" t="s">
        <v>10</v>
      </c>
    </row>
    <row r="2" spans="1:7" x14ac:dyDescent="0.2">
      <c r="A2" s="3" t="s">
        <v>3</v>
      </c>
      <c r="B2" s="5">
        <v>86.208929999999995</v>
      </c>
      <c r="C2" s="2">
        <v>-626.4</v>
      </c>
      <c r="D2" s="2">
        <v>-567.1</v>
      </c>
      <c r="E2" s="12">
        <f>B2-86.21</f>
        <v>-1.0699999999985721E-3</v>
      </c>
      <c r="F2" s="12">
        <f>C2-(-626.4)</f>
        <v>0</v>
      </c>
      <c r="G2" s="12">
        <f>D2-(-567.1)</f>
        <v>0</v>
      </c>
    </row>
    <row r="3" spans="1:7" x14ac:dyDescent="0.2">
      <c r="A3" t="s">
        <v>1</v>
      </c>
      <c r="B3" s="5">
        <v>94.372290000000007</v>
      </c>
      <c r="C3" s="2">
        <v>-625.20000000000005</v>
      </c>
      <c r="D3" s="2">
        <v>-562.1</v>
      </c>
      <c r="E3" s="12">
        <f>B3-86.21</f>
        <v>8.1622900000000129</v>
      </c>
      <c r="F3" s="12">
        <f>C3-(-626.4)</f>
        <v>1.1999999999999318</v>
      </c>
      <c r="G3" s="12">
        <f>D3-(-567.1)</f>
        <v>5</v>
      </c>
    </row>
    <row r="4" spans="1:7" x14ac:dyDescent="0.2">
      <c r="A4" s="4" t="s">
        <v>2</v>
      </c>
      <c r="B4" s="5">
        <v>93.683419999999998</v>
      </c>
      <c r="C4" s="2">
        <v>-625.5</v>
      </c>
      <c r="D4" s="2">
        <v>-559</v>
      </c>
      <c r="E4" s="12">
        <f>B4-86.21</f>
        <v>7.4734200000000044</v>
      </c>
      <c r="F4" s="12">
        <f>C4-(-626.4)</f>
        <v>0.89999999999997726</v>
      </c>
      <c r="G4" s="12">
        <f>D4-(-567.1)</f>
        <v>8.1000000000000227</v>
      </c>
    </row>
    <row r="5" spans="1:7" x14ac:dyDescent="0.2">
      <c r="A5" t="s">
        <v>0</v>
      </c>
      <c r="B5" s="5">
        <v>284.50009999999997</v>
      </c>
      <c r="C5" s="2">
        <v>-356.7</v>
      </c>
      <c r="D5" s="2">
        <v>-288.7</v>
      </c>
      <c r="E5" s="12">
        <f>B5-86.21</f>
        <v>198.2901</v>
      </c>
      <c r="F5" s="12">
        <f>C5-(-626.4)</f>
        <v>269.7</v>
      </c>
      <c r="G5" s="12">
        <f>D5-(-567.1)</f>
        <v>278.40000000000003</v>
      </c>
    </row>
  </sheetData>
  <sortState ref="A2:G5">
    <sortCondition ref="G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1E9D-FB5D-664E-A172-D582F9A84F4F}">
  <dimension ref="A1:G5"/>
  <sheetViews>
    <sheetView workbookViewId="0">
      <selection activeCell="E2" sqref="E2:G5"/>
    </sheetView>
  </sheetViews>
  <sheetFormatPr baseColWidth="10" defaultRowHeight="16" x14ac:dyDescent="0.2"/>
  <cols>
    <col min="1" max="1" width="28" customWidth="1"/>
    <col min="2" max="2" width="16.33203125" style="2" customWidth="1"/>
    <col min="3" max="4" width="10.83203125" style="2"/>
    <col min="5" max="7" width="10.83203125" style="12"/>
  </cols>
  <sheetData>
    <row r="1" spans="1:7" x14ac:dyDescent="0.2">
      <c r="A1" t="s">
        <v>4</v>
      </c>
      <c r="B1" s="2" t="s">
        <v>5</v>
      </c>
      <c r="C1" s="2" t="s">
        <v>7</v>
      </c>
      <c r="D1" s="2" t="s">
        <v>8</v>
      </c>
      <c r="E1" s="12" t="s">
        <v>6</v>
      </c>
      <c r="F1" s="12" t="s">
        <v>9</v>
      </c>
      <c r="G1" s="12" t="s">
        <v>10</v>
      </c>
    </row>
    <row r="2" spans="1:7" x14ac:dyDescent="0.2">
      <c r="A2" s="3" t="s">
        <v>3</v>
      </c>
      <c r="B2" s="5">
        <v>627.21600000000001</v>
      </c>
      <c r="C2" s="2">
        <v>697</v>
      </c>
      <c r="D2" s="2">
        <v>749.4</v>
      </c>
      <c r="E2" s="12">
        <f>B2-627.22</f>
        <v>-4.0000000000190994E-3</v>
      </c>
      <c r="F2" s="12">
        <f>C2-(697)</f>
        <v>0</v>
      </c>
      <c r="G2" s="12">
        <f>D2-(749.4)</f>
        <v>0</v>
      </c>
    </row>
    <row r="3" spans="1:7" x14ac:dyDescent="0.2">
      <c r="A3" t="s">
        <v>1</v>
      </c>
      <c r="B3" s="5">
        <v>628.64059999999995</v>
      </c>
      <c r="C3" s="2">
        <v>693.5</v>
      </c>
      <c r="D3" s="2">
        <v>748.7</v>
      </c>
      <c r="E3" s="12">
        <f>B3-627.22</f>
        <v>1.4205999999999221</v>
      </c>
      <c r="F3" s="12">
        <f>C3-(697)</f>
        <v>-3.5</v>
      </c>
      <c r="G3" s="12">
        <f>D3-(749.4)</f>
        <v>-0.69999999999993179</v>
      </c>
    </row>
    <row r="4" spans="1:7" x14ac:dyDescent="0.2">
      <c r="A4" t="s">
        <v>2</v>
      </c>
      <c r="B4" s="5">
        <v>638.55610000000001</v>
      </c>
      <c r="C4" s="2">
        <v>693.5</v>
      </c>
      <c r="D4" s="2">
        <v>752.7</v>
      </c>
      <c r="E4" s="12">
        <f>B4-627.22</f>
        <v>11.336099999999988</v>
      </c>
      <c r="F4" s="12">
        <f>C4-(697)</f>
        <v>-3.5</v>
      </c>
      <c r="G4" s="12">
        <f>D4-(749.4)</f>
        <v>3.3000000000000682</v>
      </c>
    </row>
    <row r="5" spans="1:7" x14ac:dyDescent="0.2">
      <c r="A5" t="s">
        <v>0</v>
      </c>
      <c r="B5" s="5">
        <v>766.71190000000001</v>
      </c>
      <c r="C5" s="2">
        <v>1003.4</v>
      </c>
      <c r="D5" s="2">
        <v>1072.7</v>
      </c>
      <c r="E5" s="12">
        <f>B5-627.22</f>
        <v>139.49189999999999</v>
      </c>
      <c r="F5" s="12">
        <f>C5-(697)</f>
        <v>306.39999999999998</v>
      </c>
      <c r="G5" s="12">
        <f>D5-(749.4)</f>
        <v>323.30000000000007</v>
      </c>
    </row>
  </sheetData>
  <sortState ref="A2:G5">
    <sortCondition ref="E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8742-CA02-6B4F-9D85-E622AE7902AE}">
  <dimension ref="A1:G5"/>
  <sheetViews>
    <sheetView workbookViewId="0">
      <selection activeCell="E2" sqref="E2:G5"/>
    </sheetView>
  </sheetViews>
  <sheetFormatPr baseColWidth="10" defaultRowHeight="16" x14ac:dyDescent="0.2"/>
  <cols>
    <col min="1" max="1" width="27" customWidth="1"/>
    <col min="2" max="4" width="10.83203125" style="2"/>
    <col min="5" max="7" width="10.83203125" style="12"/>
  </cols>
  <sheetData>
    <row r="1" spans="1:7" x14ac:dyDescent="0.2">
      <c r="A1" t="s">
        <v>4</v>
      </c>
      <c r="B1" s="2" t="s">
        <v>5</v>
      </c>
      <c r="C1" s="2" t="s">
        <v>7</v>
      </c>
      <c r="D1" s="2" t="s">
        <v>8</v>
      </c>
      <c r="E1" s="12" t="s">
        <v>6</v>
      </c>
      <c r="F1" s="12" t="s">
        <v>9</v>
      </c>
      <c r="G1" s="12" t="s">
        <v>10</v>
      </c>
    </row>
    <row r="2" spans="1:7" x14ac:dyDescent="0.2">
      <c r="A2" s="3" t="s">
        <v>3</v>
      </c>
      <c r="B2" s="2">
        <v>41411.129999999997</v>
      </c>
      <c r="C2" s="2">
        <v>357</v>
      </c>
      <c r="D2" s="5">
        <v>422.1</v>
      </c>
      <c r="E2" s="12">
        <f>B2-41411.13</f>
        <v>0</v>
      </c>
      <c r="F2" s="12">
        <f>C2-(357)</f>
        <v>0</v>
      </c>
      <c r="G2" s="12">
        <f>D2-(422.1)</f>
        <v>0</v>
      </c>
    </row>
    <row r="3" spans="1:7" x14ac:dyDescent="0.2">
      <c r="A3" t="s">
        <v>2</v>
      </c>
      <c r="B3" s="2">
        <v>41423.910000000003</v>
      </c>
      <c r="C3" s="2">
        <v>362.8</v>
      </c>
      <c r="D3" s="2">
        <v>435.3</v>
      </c>
      <c r="E3" s="12">
        <f>B3-41411.13</f>
        <v>12.780000000006112</v>
      </c>
      <c r="F3" s="12">
        <f>C3-(357)</f>
        <v>5.8000000000000114</v>
      </c>
      <c r="G3" s="12">
        <f>D3-(422.1)</f>
        <v>13.199999999999989</v>
      </c>
    </row>
    <row r="4" spans="1:7" x14ac:dyDescent="0.2">
      <c r="A4" t="s">
        <v>1</v>
      </c>
      <c r="B4" s="2">
        <v>41443.17</v>
      </c>
      <c r="C4" s="2">
        <v>373.6</v>
      </c>
      <c r="D4" s="2">
        <v>440.1</v>
      </c>
      <c r="E4" s="12">
        <f>B4-41411.13</f>
        <v>32.040000000000873</v>
      </c>
      <c r="F4" s="12">
        <f>C4-(357)</f>
        <v>16.600000000000023</v>
      </c>
      <c r="G4" s="12">
        <f>D4-(422.1)</f>
        <v>18</v>
      </c>
    </row>
    <row r="5" spans="1:7" x14ac:dyDescent="0.2">
      <c r="A5" t="s">
        <v>0</v>
      </c>
      <c r="B5" s="5">
        <v>41693.71</v>
      </c>
      <c r="C5" s="2">
        <v>831.9</v>
      </c>
      <c r="D5" s="2">
        <v>919</v>
      </c>
      <c r="E5" s="12">
        <f>B5-41411.13</f>
        <v>282.58000000000175</v>
      </c>
      <c r="F5" s="12">
        <f>C5-(357)</f>
        <v>474.9</v>
      </c>
      <c r="G5" s="12">
        <f>D5-(422.1)</f>
        <v>496.9</v>
      </c>
    </row>
  </sheetData>
  <sortState ref="A2:G5">
    <sortCondition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</vt:lpstr>
      <vt:lpstr>Sheet1</vt:lpstr>
      <vt:lpstr>F</vt:lpstr>
      <vt:lpstr>Bmsy</vt:lpstr>
      <vt:lpstr>Fmsy</vt:lpstr>
      <vt:lpstr>B_by_Bmsy</vt:lpstr>
      <vt:lpstr>F_by_Fmsy</vt:lpstr>
      <vt:lpstr>OFL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Bi, Rujia</dc:creator>
  <cp:lastModifiedBy>Bi, Rujia</cp:lastModifiedBy>
  <dcterms:created xsi:type="dcterms:W3CDTF">2021-10-04T02:06:28Z</dcterms:created>
  <dcterms:modified xsi:type="dcterms:W3CDTF">2022-08-17T01:14:17Z</dcterms:modified>
</cp:coreProperties>
</file>